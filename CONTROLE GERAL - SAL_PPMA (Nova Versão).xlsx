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s - PPMA" sheetId="1" r:id="rId5"/>
    <sheet state="visible" name="Procs. Licitatórios (sem Contra" sheetId="2" r:id="rId6"/>
    <sheet state="visible" name="Bodyscan (status)" sheetId="3" r:id="rId7"/>
    <sheet state="visible" name="Esteira Raio-x (status)" sheetId="4" r:id="rId8"/>
    <sheet state="visible" name="Pórticos (status)" sheetId="5" r:id="rId9"/>
    <sheet state="visible" name="Ordens de Serviço - Bodyscan" sheetId="6" r:id="rId10"/>
    <sheet state="visible" name="Ordens de Serviço - Pórticos" sheetId="7" r:id="rId11"/>
    <sheet state="visible" name="RAPHAEL PRODUÇÃO Ordens de Serv" sheetId="8" r:id="rId12"/>
    <sheet state="visible" name="Ordens de Serviço - Esteiras" sheetId="9" r:id="rId13"/>
    <sheet state="visible" name="Esteiras desafetadas" sheetId="10" r:id="rId14"/>
    <sheet state="visible" name="Financeiro CT 022024" sheetId="11" r:id="rId15"/>
    <sheet state="visible" name="Financeiro CT 882025 (MANUT)" sheetId="12" r:id="rId16"/>
    <sheet state="visible" name="Financeiro CT 882025 (PEÇAS)" sheetId="13" r:id="rId17"/>
    <sheet state="visible" name="Financeiro CT 1332025" sheetId="14" r:id="rId18"/>
    <sheet state="visible" name="Financeiro Geral" sheetId="15" r:id="rId19"/>
  </sheets>
  <definedNames>
    <definedName hidden="1" localSheetId="3" name="_xlnm._FilterDatabase">'Esteira Raio-x (status)'!$A$5:$L$51</definedName>
    <definedName hidden="1" localSheetId="4" name="_xlnm._FilterDatabase">'Pórticos (status)'!$A$4:$J$155</definedName>
    <definedName hidden="1" localSheetId="5" name="_xlnm._FilterDatabase">'Ordens de Serviço - Bodyscan'!$A$5:$S$184</definedName>
    <definedName hidden="1" localSheetId="6" name="_xlnm._FilterDatabase">'Ordens de Serviço - Pórticos'!$A$5:$W$175</definedName>
    <definedName hidden="1" localSheetId="7" name="_xlnm._FilterDatabase">'RAPHAEL PRODUÇÃO Ordens de Serv'!$A$5:$T$175</definedName>
    <definedName hidden="1" localSheetId="8" name="_xlnm._FilterDatabase">'Ordens de Serviço - Esteiras'!$A$5:$V$133</definedName>
    <definedName hidden="1" localSheetId="9" name="_xlnm._FilterDatabase">'Esteiras desafetadas'!$A$5:$L$19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Vigência: 29/05/2026</t>
      </text>
    </comment>
    <comment authorId="0" ref="B30">
      <text>
        <t xml:space="preserve">Vigência: 07/11/2025</t>
      </text>
    </comment>
    <comment authorId="0" ref="B29">
      <text>
        <t xml:space="preserve">Vigência: 06/08/2025</t>
      </text>
    </comment>
    <comment authorId="0" ref="B28">
      <text>
        <t xml:space="preserve">Vigência: 14/10/2025</t>
      </text>
    </comment>
    <comment authorId="0" ref="B27">
      <text>
        <t xml:space="preserve">Vigência: 31/12/2025</t>
      </text>
    </comment>
    <comment authorId="0" ref="B26">
      <text>
        <t xml:space="preserve">Vigência: 31/12/2025</t>
      </text>
    </comment>
    <comment authorId="0" ref="B25">
      <text>
        <t xml:space="preserve">Vigência: 14/08/2026</t>
      </text>
    </comment>
    <comment authorId="0" ref="B24">
      <text>
        <t xml:space="preserve">Vigência: 31/12/2025</t>
      </text>
    </comment>
    <comment authorId="0" ref="B23">
      <text>
        <t xml:space="preserve">Vigência: 31/12/2025</t>
      </text>
    </comment>
    <comment authorId="0" ref="B22">
      <text>
        <t xml:space="preserve">Vigência: 31/12/2025</t>
      </text>
    </comment>
    <comment authorId="0" ref="B21">
      <text>
        <t xml:space="preserve">Vigência: 31/12/2025</t>
      </text>
    </comment>
    <comment authorId="0" ref="B20">
      <text>
        <t xml:space="preserve">Vigência: 19/12/2026</t>
      </text>
    </comment>
    <comment authorId="0" ref="B19">
      <text>
        <t xml:space="preserve">Vigência: 29/12/2026</t>
      </text>
    </comment>
    <comment authorId="0" ref="B18">
      <text>
        <t xml:space="preserve">Vigência: 31/12/2025</t>
      </text>
    </comment>
    <comment authorId="0" ref="B17">
      <text>
        <t xml:space="preserve">Vigência: 31/12/2025</t>
      </text>
    </comment>
  </commentList>
</comments>
</file>

<file path=xl/sharedStrings.xml><?xml version="1.0" encoding="utf-8"?>
<sst xmlns="http://schemas.openxmlformats.org/spreadsheetml/2006/main" count="9794" uniqueCount="1900">
  <si>
    <t xml:space="preserve">    bink</t>
  </si>
  <si>
    <t xml:space="preserve">        </t>
  </si>
  <si>
    <t>CONTRATO</t>
  </si>
  <si>
    <t>PROCESSO ORIGINAL (SEI)</t>
  </si>
  <si>
    <t>LOCALIDADE</t>
  </si>
  <si>
    <t>EQUIPAMENTO</t>
  </si>
  <si>
    <t>VIGÊNCIA</t>
  </si>
  <si>
    <t>PROCESSOS DE AUTORIZAÇÃO (GOVERNO)</t>
  </si>
  <si>
    <t>UNIDADE</t>
  </si>
  <si>
    <t>N° DE SÉRIE</t>
  </si>
  <si>
    <t>PROCESSO "mãe" (SEI ou físico)</t>
  </si>
  <si>
    <t>STARGOV N°</t>
  </si>
  <si>
    <t>MODELO</t>
  </si>
  <si>
    <t>COBERTURA DE CONTRATO</t>
  </si>
  <si>
    <t>TIPO (OS/OF)</t>
  </si>
  <si>
    <t>MEMO DE ABERTURA</t>
  </si>
  <si>
    <t>PENDÊNCIA</t>
  </si>
  <si>
    <t>RECURSO FINANCEIRO</t>
  </si>
  <si>
    <t>LICITAÇÃO (modalidade)</t>
  </si>
  <si>
    <t>ORDEM DE SERVIÇO (atual)</t>
  </si>
  <si>
    <t>VALOR GLOBAL (atualizado)</t>
  </si>
  <si>
    <t>CUSTEIO/RECURSO</t>
  </si>
  <si>
    <t>STATUS</t>
  </si>
  <si>
    <t>VALOR MENSAL</t>
  </si>
  <si>
    <t>VALOR CONTRATUAL PREVISTO</t>
  </si>
  <si>
    <t>DATA DA GARANTIA</t>
  </si>
  <si>
    <t>OBJETO</t>
  </si>
  <si>
    <t>QUANTIDADE</t>
  </si>
  <si>
    <t>EXECUÇÃO</t>
  </si>
  <si>
    <t>02/2024</t>
  </si>
  <si>
    <t>PENDÊNCIA (saldo)</t>
  </si>
  <si>
    <t>PRAZO DE ENTREGA (previsão)</t>
  </si>
  <si>
    <t>MARANHÃO - SÃO LUÍS - Complexo Penitenciário São Luís (Pedrinhas)</t>
  </si>
  <si>
    <t>STATUS do Proc. Licitatório</t>
  </si>
  <si>
    <t>LOCALIZAÇÃO</t>
  </si>
  <si>
    <t>BODYSCAN</t>
  </si>
  <si>
    <t>DATA</t>
  </si>
  <si>
    <t>PU-01</t>
  </si>
  <si>
    <t>CONSULTA</t>
  </si>
  <si>
    <t>CONSULTOR</t>
  </si>
  <si>
    <t>04079001001</t>
  </si>
  <si>
    <t>RESPONSÁVEL</t>
  </si>
  <si>
    <t>BODYSCAN SV</t>
  </si>
  <si>
    <t>2026.560101.35832
(2026.560101.33989 - ASIPEN)</t>
  </si>
  <si>
    <t>COM CONTRATO</t>
  </si>
  <si>
    <t>N° 056/2026 - TECHSCAN</t>
  </si>
  <si>
    <t xml:space="preserve">2026.560101.36294  </t>
  </si>
  <si>
    <t>FUNCIONANDO</t>
  </si>
  <si>
    <t>verificar - SAL (ou no sistema)</t>
  </si>
  <si>
    <t>venceu em 30/10/2023</t>
  </si>
  <si>
    <t>MEMORANDO N° 140/2026 - SAL/PPMA</t>
  </si>
  <si>
    <t>2025.560101.02409</t>
  </si>
  <si>
    <t>PREGÃO (comum)</t>
  </si>
  <si>
    <t>FUNPEN 2021</t>
  </si>
  <si>
    <t>SERVIÇO</t>
  </si>
  <si>
    <t>TESOURO ESTADUAL
FUNPEN</t>
  </si>
  <si>
    <t>AQUISIÇÃO DE VIATURAS 4X4 DESCARACTERIZADAS DO TIPO PICK-UP</t>
  </si>
  <si>
    <t>2 UNDS</t>
  </si>
  <si>
    <t xml:space="preserve">SERVIÇO: MANUTENÇÃO DE ESTEIRAS RAIO-X (CORRETIVA/PREVENTIVA/PEÇAS) </t>
  </si>
  <si>
    <t>40 unidades</t>
  </si>
  <si>
    <t>04102101001</t>
  </si>
  <si>
    <t>SERVIÇO CONTÍNUO</t>
  </si>
  <si>
    <t>INFORMAÇÕES / PENDÊNCIAS</t>
  </si>
  <si>
    <r>
      <rPr>
        <rFont val="Roboto"/>
        <b/>
        <color rgb="FF434343"/>
        <sz val="10.0"/>
      </rPr>
      <t xml:space="preserve">Solicitação incorporação da demanda ao Processo nº </t>
    </r>
    <r>
      <rPr>
        <rFont val="Roboto"/>
        <b/>
        <color rgb="FF434343"/>
        <sz val="10.0"/>
        <u/>
      </rPr>
      <t>2026.560101.33989 (ASIPEN)</t>
    </r>
  </si>
  <si>
    <t>ORDEM DE SERVIÇO / TAREFA</t>
  </si>
  <si>
    <t>1. AGUARDANDO A PUBLICAÇÃO (SOLICITADO PELA ASSJUR);
2. XXX</t>
  </si>
  <si>
    <t>venceu em 27/10/2023</t>
  </si>
  <si>
    <t>SEI (solicitação)</t>
  </si>
  <si>
    <t>*</t>
  </si>
  <si>
    <t>MATHEUS</t>
  </si>
  <si>
    <t>PU-02</t>
  </si>
  <si>
    <t>N° 133/2025 - TRC TELECOM</t>
  </si>
  <si>
    <t>N° 56/2026-TECHSCAN</t>
  </si>
  <si>
    <t>2025.560101.11447</t>
  </si>
  <si>
    <t>MARANHÃO - SÃO LUÍS - Complexo Penitenciário São Luís (Bairro de Pedrinhas)</t>
  </si>
  <si>
    <t>03942001001</t>
  </si>
  <si>
    <t>TESOURO ESTADUAL</t>
  </si>
  <si>
    <t>ESTEIRA RAIO-X</t>
  </si>
  <si>
    <t>BODYSCAN DV</t>
  </si>
  <si>
    <t>SERVIÇO: LOCAÇÃO DE RÁDIOS HT</t>
  </si>
  <si>
    <t>250 unidades</t>
  </si>
  <si>
    <t>TFNAP-IX-170252</t>
  </si>
  <si>
    <t>OS n° 113/2025 : 200 unidades (locação)
OS n° 038/2026 : 50 unidades (locação - aditivo)</t>
  </si>
  <si>
    <t>venceu em 25/10/2022</t>
  </si>
  <si>
    <t>50 unidades
(solicitado/aguardando a entrega)</t>
  </si>
  <si>
    <t>CX6040BI</t>
  </si>
  <si>
    <t>1. entregue a quantidade contratual
(pagamento mensal)
2. aguardando a entrega do aditivo
(15/05/2026)</t>
  </si>
  <si>
    <t>1. ADITIVO "QUALITATIVO" = SOLICITADO: 50 RÁDIOS (OS 038/2026)
2. AGUARDANDO ASSJUR JUNTAR A PUBLICAÇÃO DO TERMO ADITIVO</t>
  </si>
  <si>
    <t>ASSJUR - 06/04/2026</t>
  </si>
  <si>
    <t>SUBSEC - desde 07/07/2026</t>
  </si>
  <si>
    <t>UPFEM/SLZ</t>
  </si>
  <si>
    <t>04139601001</t>
  </si>
  <si>
    <t>N° 088/2025 - DETRONIX</t>
  </si>
  <si>
    <t>NILZA</t>
  </si>
  <si>
    <t>venceu em 29/10/2023</t>
  </si>
  <si>
    <t>2024.560101.39601</t>
  </si>
  <si>
    <t>MARANHÃO - IMPERATRIZ</t>
  </si>
  <si>
    <t>2026.560101.37165</t>
  </si>
  <si>
    <t>PR/IMPERATRIZ</t>
  </si>
  <si>
    <t>04134201001</t>
  </si>
  <si>
    <t>2026.560101.39590</t>
  </si>
  <si>
    <t>SERVIÇO: MANUTENÇÃO PORTAIS DETRONIX (CORRETIVA/PREVENTIVA/PEÇAS)</t>
  </si>
  <si>
    <t>152 equipamentos* (aguardar manutenções finalizarem)
-9 unds (descarte)
-1 und (duplicado)</t>
  </si>
  <si>
    <t>venceu em 26/10/2023</t>
  </si>
  <si>
    <t>MEMORANDO N° 157/2026 - SAL/PPMA</t>
  </si>
  <si>
    <t>INEXIGIBILIDADE</t>
  </si>
  <si>
    <t>FUNPEN</t>
  </si>
  <si>
    <t>UPR/IMPERATRIZ</t>
  </si>
  <si>
    <t>04139201001</t>
  </si>
  <si>
    <t>AQUISIÇÃO DE INSTRUMENTOS DE MENOR POTENCIAL OFENSIVO</t>
  </si>
  <si>
    <t>N° 002/2024 - VMI</t>
  </si>
  <si>
    <t>CÂMARA DE INDIVIDUO</t>
  </si>
  <si>
    <t>167633/2023</t>
  </si>
  <si>
    <t xml:space="preserve">044/2026 - TAREFA #74295390 </t>
  </si>
  <si>
    <t>FUNCIONANDO COM PENDÊNCIA</t>
  </si>
  <si>
    <t>UNIFICADO (informar separadamente)</t>
  </si>
  <si>
    <t>FUNPEN 2021 (esgotado)
FUNPEN 2022 (esgotado)
TESOURO ESTADUAL (atualmente)</t>
  </si>
  <si>
    <t>venceu em 25/10/2023</t>
  </si>
  <si>
    <t>Aguardando aprovação para abertura do processo licitatório</t>
  </si>
  <si>
    <t>SERVIÇO: MANUTENÇÃO DE BODYSCAN (CORRETIVA/PREVENTIVA/PEÇAS)</t>
  </si>
  <si>
    <t>MARANHÃO - TIMON</t>
  </si>
  <si>
    <t>14 equipamentos</t>
  </si>
  <si>
    <t>TFNAP-IX-170253</t>
  </si>
  <si>
    <t>SUBSEC - desde 16/06/2026</t>
  </si>
  <si>
    <t>PR/TIMON</t>
  </si>
  <si>
    <t>04123101001</t>
  </si>
  <si>
    <t>venceu em 28/10/2023</t>
  </si>
  <si>
    <t>2026.560101.39386</t>
  </si>
  <si>
    <t xml:space="preserve">2026.560101.40245 </t>
  </si>
  <si>
    <t>MARANHÃO - PINHEIRO</t>
  </si>
  <si>
    <t>LEGENDA</t>
  </si>
  <si>
    <t>PR/PINHEIRO</t>
  </si>
  <si>
    <t>6 MESES</t>
  </si>
  <si>
    <t>04123201001</t>
  </si>
  <si>
    <t>MEMORANDO N° 172/2026 - SAL/PPMA</t>
  </si>
  <si>
    <t>- 3 MESES</t>
  </si>
  <si>
    <t>NOBREAK (OS 45/2026) e CPU (OS 69/2026)</t>
  </si>
  <si>
    <t>FINALIZADO (aguardando arquivamento)</t>
  </si>
  <si>
    <t>045/2026 - TAREFA #74463528
069/2026 - TAREFA #76830060</t>
  </si>
  <si>
    <t>AQUISIÇÃO DE MUNIÇÕES</t>
  </si>
  <si>
    <t>UPR/TIMON</t>
  </si>
  <si>
    <t xml:space="preserve">PU-01 </t>
  </si>
  <si>
    <t>04139301001</t>
  </si>
  <si>
    <t>TFNAP-IX-170241</t>
  </si>
  <si>
    <t>Despacho concedendo o "de acordo" ao pedido do setor demandante (Memorando/DFD sem assinatura de Raul - solicitado em 18/06/2026)</t>
  </si>
  <si>
    <t>PRAZO DE ENTREGA</t>
  </si>
  <si>
    <t>PPMA - desde 18/06/2026</t>
  </si>
  <si>
    <t>venceu em 17/03/2024</t>
  </si>
  <si>
    <t>PEÇA: CPU, MONITORES E TUBO RAIO - X</t>
  </si>
  <si>
    <t>N° 156/2025 - CONDOR</t>
  </si>
  <si>
    <t>objeto finalizado/entregue</t>
  </si>
  <si>
    <t>053/2026 - TAREFA #75508129</t>
  </si>
  <si>
    <t>MARANHÃO - PEDREIRAS</t>
  </si>
  <si>
    <t>2024.560101.38506</t>
  </si>
  <si>
    <t>PR/PEDREIRAS</t>
  </si>
  <si>
    <t>FORNECIMENTO</t>
  </si>
  <si>
    <t>04078101001</t>
  </si>
  <si>
    <t xml:space="preserve">Processos Abertos:  </t>
  </si>
  <si>
    <t>FUNPEN 2019
FUNPEN 2021
TESOURO ESTADUAL</t>
  </si>
  <si>
    <t>INOPERANTE</t>
  </si>
  <si>
    <t>AQUISIÇÃO: MUNIÇÃO DE AM-403/P (MENOR POTENCIAL OFENSIVO)</t>
  </si>
  <si>
    <t>3.922 unidades</t>
  </si>
  <si>
    <t>OF n° 958/2025 : 3.922 unidades</t>
  </si>
  <si>
    <t>finalizado</t>
  </si>
  <si>
    <t>venceu em 11/03/2024</t>
  </si>
  <si>
    <t>EVILLY - trabalhar em todos os campos em amarelo</t>
  </si>
  <si>
    <t>ARQUIVAR PROCESSO "MÃE" - (aguardando procedimento da SAL)</t>
  </si>
  <si>
    <t>N/D</t>
  </si>
  <si>
    <t>PU-04</t>
  </si>
  <si>
    <t>1206000001</t>
  </si>
  <si>
    <t>N° 142/2025 - FZ PREV. E COM.</t>
  </si>
  <si>
    <t>2025.560101.38679</t>
  </si>
  <si>
    <t>TFNAP-IX-190169</t>
  </si>
  <si>
    <t>AQUISIÇÃO: EXTINTOR - FOGO ZERO</t>
  </si>
  <si>
    <t xml:space="preserve">400 unidades - extintor em Spray 600ml
300 unidades - extintor autônomo 3L </t>
  </si>
  <si>
    <t>OF n° 921/2025 : 400 unidades FOGO ZERO - 600ml (entregue)
OF n° 922/2025 : 150 unidades FOGO ZERO - 3L (entregue)
OF n° 923/2025 : 150 unidades FOGO ZERO - 3L (entregue)</t>
  </si>
  <si>
    <t>FAZER O PAGAMENTO:
- SEI N° 2026.560101.00838 (NF 1184/2025 - R$ 100.000,00) - OF 921/2025 -&gt; PAGO
- SEI N° 2026.560101.00876 (NF 1185/2025 - R$ 187.500,00) - OF 922/2025
- SEI N° 2026.560101.00850 (NF 1186/2025 - R$ 187.500,00) - OF 923/2025 -&gt; PAGO</t>
  </si>
  <si>
    <t>UPMAX</t>
  </si>
  <si>
    <t>1299000006</t>
  </si>
  <si>
    <t>venceu em 28/08/2025</t>
  </si>
  <si>
    <t>N° 140/2025 - CBC</t>
  </si>
  <si>
    <t>2025.560101.03005</t>
  </si>
  <si>
    <t>FUNPEN 2021
TESOURO ESTADUAL</t>
  </si>
  <si>
    <t>AQUISIÇÃO: MUNIÇÃO CALIBRE .40</t>
  </si>
  <si>
    <t>4.000 unidades</t>
  </si>
  <si>
    <t>OF n° 987/2025 : 4000 unds</t>
  </si>
  <si>
    <t>MARANHÃO - GOVERNADOR NUNES FREIRE</t>
  </si>
  <si>
    <t>PR/GOVERNADOR NUNES FREIRE</t>
  </si>
  <si>
    <t>UPSL6</t>
  </si>
  <si>
    <t>FAZER O PAGAMENTO: 
SEI N° 2026.560101.04337 (NF 288540/2025 - R$ 45.440,00) - OF 987/2025 -&gt; PAGO</t>
  </si>
  <si>
    <t>1299000010</t>
  </si>
  <si>
    <t>TFNAP-IX-170257</t>
  </si>
  <si>
    <t>APAGÕES CONSTANTES (INFO DA UNIDADE)</t>
  </si>
  <si>
    <t xml:space="preserve">         </t>
  </si>
  <si>
    <t>N° 124/2025 - CBC</t>
  </si>
  <si>
    <t>073/2026 - SEM TAREFA</t>
  </si>
  <si>
    <t>2025.560101.03039</t>
  </si>
  <si>
    <t>foi transfêrida para UPSL05 (23/07/2026)</t>
  </si>
  <si>
    <t>AQUISIÇÃO: MUNIÇÃO CALIBRE 9MM CARGA LUGER P EXPO GOLD HEX</t>
  </si>
  <si>
    <t>MARANHÃO - BALSAS</t>
  </si>
  <si>
    <t>OF n° 982/2025 : 4000 unidades</t>
  </si>
  <si>
    <t>UPR/BALSAS</t>
  </si>
  <si>
    <t>04631501001</t>
  </si>
  <si>
    <t>FAZER O PAGAMENTO: 
SEI N° 2026.560101.XXXXX (NF 291761/2026 - R$ 38.200,00)
AGUARDANDO ABERTURA</t>
  </si>
  <si>
    <t>N° 115/2025 - BRAZIL SPEC OPS</t>
  </si>
  <si>
    <t>venceu em 01/01/2025</t>
  </si>
  <si>
    <t>MARANHÃO - SÃO LUÍS (Bairro do Anil)</t>
  </si>
  <si>
    <t>2025.560101.25575</t>
  </si>
  <si>
    <t>TOMBO</t>
  </si>
  <si>
    <t>UPR/ANIL</t>
  </si>
  <si>
    <t>AQUISIÇÃO: ALGEMAS DE PULSO E TORNOZELO</t>
  </si>
  <si>
    <t>TFNAP-IX-170250</t>
  </si>
  <si>
    <t>TOTAL: 113 unidades
71 unidades - algemas de pulso
42 unidades - algemas de tornozelo</t>
  </si>
  <si>
    <t>OF n° 871/2025 : 71 unidades (pulso) / 42 unidades (tornozelo)</t>
  </si>
  <si>
    <t>MARANHÃO - SÃO LUÍS</t>
  </si>
  <si>
    <t>PÓRTICO</t>
  </si>
  <si>
    <t>PEÇA: CPU</t>
  </si>
  <si>
    <t>SSI</t>
  </si>
  <si>
    <t>058/2026 - TAREFA #75508012</t>
  </si>
  <si>
    <t>N° 114/2025 - CBC</t>
  </si>
  <si>
    <t>METTUS HS+</t>
  </si>
  <si>
    <t>2024.560101.44531</t>
  </si>
  <si>
    <t>51789-0</t>
  </si>
  <si>
    <t>FUNPEN 2019</t>
  </si>
  <si>
    <t>S/T</t>
  </si>
  <si>
    <t>AQUISIÇÃO: MUNIÇÃO CARGA BALOTE</t>
  </si>
  <si>
    <t>121/2025</t>
  </si>
  <si>
    <t>250 unidades (1 caixa)</t>
  </si>
  <si>
    <t xml:space="preserve">OF n° 912/2025 : 250 UNIDADES </t>
  </si>
  <si>
    <t>FAZER O PAGAMENTO:
SEI N° 2026.560101.05847 (NF 310572/2025 - R$ 3.905,00) - OF 912/2025 -&gt; PAGO</t>
  </si>
  <si>
    <t>MARANHÃO - SÃO LUÍS (Bairro do Olho D'água)</t>
  </si>
  <si>
    <t>N° 085/2025 - CONDOR</t>
  </si>
  <si>
    <t>UPR/OLHO D´AGUA</t>
  </si>
  <si>
    <t>objeto finalizado/entregue
(ARQUIVADO)</t>
  </si>
  <si>
    <t>TRNAP-IX-180220</t>
  </si>
  <si>
    <t>PORTARIA UNIFICADA-01</t>
  </si>
  <si>
    <t>2024.560101.49431</t>
  </si>
  <si>
    <t>51788-0</t>
  </si>
  <si>
    <t>AQUISIÇÃO: MUNIÇÃO GL-101</t>
  </si>
  <si>
    <t>269 unds</t>
  </si>
  <si>
    <t>OF n° 751/2025 : 269 unds</t>
  </si>
  <si>
    <t>ARQUIVADO
(DESPACHO SUBSEC/SEAP - 15/01/2026)</t>
  </si>
  <si>
    <t>N° 084/2025 - CBC</t>
  </si>
  <si>
    <t>2024.560101.44284</t>
  </si>
  <si>
    <t>51794-0</t>
  </si>
  <si>
    <t>FUNPEN 2019
FUNPEN 2021</t>
  </si>
  <si>
    <t>AQUISIÇÃO: MUNIÇÃO 5,56X45MM</t>
  </si>
  <si>
    <t>3.000 unds</t>
  </si>
  <si>
    <t>OF n° 795/2025 : 3000 unds</t>
  </si>
  <si>
    <t>TFNAP-IX-150532</t>
  </si>
  <si>
    <t>N° 079/2025 - COPLATEX</t>
  </si>
  <si>
    <t>PEÇA: NOBREAK E PLACA DE INTERFACE</t>
  </si>
  <si>
    <t>PORTARIA UNIFICADA-02</t>
  </si>
  <si>
    <t>2025.560101.16946</t>
  </si>
  <si>
    <t>074/2026 - TAREFA #77278587</t>
  </si>
  <si>
    <t>39608-0</t>
  </si>
  <si>
    <t>AQUISIÇÃO: COLETES DE PROTEÇÃO BALÍSTICOS COM CAPA MODULAR NIVEL III-A</t>
  </si>
  <si>
    <t>1457 unds (TAM. P: 336 / TAM. M: 766 / TAM. G: 346 / TAM. GG: 9)
+
Aditivo: 24,99%</t>
  </si>
  <si>
    <t xml:space="preserve"> (SPECNUC)</t>
  </si>
  <si>
    <t>PROCESSO</t>
  </si>
  <si>
    <t>OF n° 548/2025 até 561/2025 - ok
OF n° 633/2025 - ok
OF n° 953/2025 - ok
OF n° 954/2025 - ok
OF n° 955/2025 - ok
OF n° 956/2025 - ok</t>
  </si>
  <si>
    <t>ORDEM DE SERVIÇO</t>
  </si>
  <si>
    <t>SEI</t>
  </si>
  <si>
    <t>TIPO DE SERVIÇO</t>
  </si>
  <si>
    <t>FAZER O PAGAMENTO: (AGUARDANDO ABERTURA DO PROCESSO DE PAGAMENTO)
SEI N° 2026.560101.XXXXX (NF 080.189/2026 - R$ 557.592,86) 
- OF's: 953/2025 ; 954/2025 ; 955/2025 ; 956/2025</t>
  </si>
  <si>
    <t>DATA DE ASSINATURA - DG/PPMA</t>
  </si>
  <si>
    <t>DATA DA TAREFA</t>
  </si>
  <si>
    <t>TAREFA</t>
  </si>
  <si>
    <t>DATA DA TRATATIVA</t>
  </si>
  <si>
    <t>TRATATIVA</t>
  </si>
  <si>
    <t>N° 049/2025 - CBC</t>
  </si>
  <si>
    <t>OBSERVAÇÕES DA TAREFA</t>
  </si>
  <si>
    <t>51795-0</t>
  </si>
  <si>
    <t>TFNAP-IX-190154</t>
  </si>
  <si>
    <t>OBSERVARÇÕES DA TRATATIVA</t>
  </si>
  <si>
    <t>2024.560101.39599</t>
  </si>
  <si>
    <t>LINK ORDEM</t>
  </si>
  <si>
    <t>LINK TAREFA</t>
  </si>
  <si>
    <t>002/2024</t>
  </si>
  <si>
    <t>AQUISIÇÃO: MUNIÇÃO CALIBRE 12 3T (TREINAMENTO)</t>
  </si>
  <si>
    <t>153/2024</t>
  </si>
  <si>
    <t>12.500 unds (50 caixas)</t>
  </si>
  <si>
    <t>2024.560101.59637</t>
  </si>
  <si>
    <t>MANUTENÇÃO PREVENTIVA</t>
  </si>
  <si>
    <t>venceu em 25/08/2025</t>
  </si>
  <si>
    <t>SPECTRUM BODYSCAN DV</t>
  </si>
  <si>
    <t>PORTARIA UNIFICADA-03</t>
  </si>
  <si>
    <t>51796-0</t>
  </si>
  <si>
    <t>N° 031/2025 - BRAZIL SPEC OPS</t>
  </si>
  <si>
    <t>#46856650</t>
  </si>
  <si>
    <t>2024.560101.39059</t>
  </si>
  <si>
    <t>MARANHÃO - AÇAILÂNDIA</t>
  </si>
  <si>
    <t>FEITO LIMPEZA E TESTES, EQUIPAMENTO FUNCIONANDO</t>
  </si>
  <si>
    <t>178 unds (pulso: 82 unds/ tornozelo: 96 unds)</t>
  </si>
  <si>
    <t>-</t>
  </si>
  <si>
    <t>178 unds (pulso: 82 unds / tornozelo: 96 unds)</t>
  </si>
  <si>
    <t>https://surl.li/iquhtz</t>
  </si>
  <si>
    <t>UPR/AÇAILÂNDIA</t>
  </si>
  <si>
    <t>TFNAP-IX-190163</t>
  </si>
  <si>
    <t>N° 084/2024 - S AMORIM DOS SANTOS</t>
  </si>
  <si>
    <t>https://surl.li/nyqjnt</t>
  </si>
  <si>
    <t>PORTARIA UNIFICADA-04</t>
  </si>
  <si>
    <t>2024.560101.18935</t>
  </si>
  <si>
    <t>CONCLUÍDO</t>
  </si>
  <si>
    <t>51797-0</t>
  </si>
  <si>
    <t>SERVIÇO: RECARGA E MANUTENÇÃO DE EXTINTORES DE INCÊNDIO</t>
  </si>
  <si>
    <t>512 recargas (6kg - 300 recargas / 8kg - 212 recargas)</t>
  </si>
  <si>
    <t>ARQUIVADO
(DESPACHO SUBSEC/SEAP - 21/01/2026)</t>
  </si>
  <si>
    <t>venceu em 26/08/2025</t>
  </si>
  <si>
    <t>UPSL1</t>
  </si>
  <si>
    <t>N° 050/2024 - CBC</t>
  </si>
  <si>
    <t>2024.560101.15157</t>
  </si>
  <si>
    <t>FUNPEN 2017
FUNPEN 2018
FUNPEN 2020
FUNPEN 2021</t>
  </si>
  <si>
    <t>UPSL2</t>
  </si>
  <si>
    <t>#46856651</t>
  </si>
  <si>
    <t>AQUISIÇÃO: ESPINGARDAS CAL. 12</t>
  </si>
  <si>
    <t>FEITO LIMPEZA, SUBSTITUIÇÃO DO MOUSE, TESTES, FUNCIONANDO</t>
  </si>
  <si>
    <t>129 unds</t>
  </si>
  <si>
    <t>https://surl.li/btqoho</t>
  </si>
  <si>
    <t>UPSL3</t>
  </si>
  <si>
    <t>14769-0</t>
  </si>
  <si>
    <t>TFNAP-IX-170246</t>
  </si>
  <si>
    <t>N° 187/2023 - TAURUS</t>
  </si>
  <si>
    <t>14770-0</t>
  </si>
  <si>
    <t>250896/2022</t>
  </si>
  <si>
    <t>FUNPEN 2020
FUNPEN 2021</t>
  </si>
  <si>
    <t>UPSL4</t>
  </si>
  <si>
    <t>34338-0</t>
  </si>
  <si>
    <t>#46856652</t>
  </si>
  <si>
    <t>AQUISIÇÃO: PISTOLA CAL. 9MM</t>
  </si>
  <si>
    <t>63 unds</t>
  </si>
  <si>
    <t>LIMPEZA, SUBSTITUIÇÃO DO GPS EM CURTO, TESTES, FUNCIONANDO</t>
  </si>
  <si>
    <t>https://surl.li/gzrmnz</t>
  </si>
  <si>
    <t>MARANHÃO - CAROLINA</t>
  </si>
  <si>
    <t>34339-0</t>
  </si>
  <si>
    <t>N° 071/2023 - VMI</t>
  </si>
  <si>
    <t>UPRS-01/CAROLINA-FEMININA</t>
  </si>
  <si>
    <t>602/2022</t>
  </si>
  <si>
    <t>TFNAP-IX-150539</t>
  </si>
  <si>
    <t>51790-0</t>
  </si>
  <si>
    <t>SERVIÇO: MANUTENÇÃO DE ESTEIRAS RAIO-X (CORRETIVA/PREVENTIVA/PEÇAS)</t>
  </si>
  <si>
    <t>24 equipamentos</t>
  </si>
  <si>
    <t>51791-0</t>
  </si>
  <si>
    <t>#46856656</t>
  </si>
  <si>
    <t>LIMPEZA, AJUSTES NAS MOLAS AÉREAS DAS PORTAS, TESTES, FUNCIONANDO</t>
  </si>
  <si>
    <t>UPSL5</t>
  </si>
  <si>
    <t>https://surl.li/cbqbcj</t>
  </si>
  <si>
    <t>39606-0</t>
  </si>
  <si>
    <t>MARANHÃO - CAXIAS</t>
  </si>
  <si>
    <t>UPR/CAXIAS</t>
  </si>
  <si>
    <t>TFNAP-IX-190168</t>
  </si>
  <si>
    <t>14772-0</t>
  </si>
  <si>
    <t xml:space="preserve">PEÇA: CPU </t>
  </si>
  <si>
    <t>#46856655</t>
  </si>
  <si>
    <t>052/2026 - TAREFA #75509873</t>
  </si>
  <si>
    <t>14775-0</t>
  </si>
  <si>
    <t>LIMPEZA DA CPU, MEMÓRIA RAM, PLACA DE VÍDEO, SENSORES, VERIFICAÇÃO DE TENSÃO, TESTES, FUNCIONANDO</t>
  </si>
  <si>
    <t>SEI 2025.560101.67421</t>
  </si>
  <si>
    <t>https://surl.li/yoeipj</t>
  </si>
  <si>
    <t>35796-0</t>
  </si>
  <si>
    <t xml:space="preserve"> </t>
  </si>
  <si>
    <t>MARANHÃO - CHAPADINHA</t>
  </si>
  <si>
    <t>34352-0</t>
  </si>
  <si>
    <t>UPR/CHAPADINHA</t>
  </si>
  <si>
    <t>TFNAP-IX-190170</t>
  </si>
  <si>
    <t>UPSL7</t>
  </si>
  <si>
    <t>#46856653</t>
  </si>
  <si>
    <t>51793-0</t>
  </si>
  <si>
    <t>LIMPEZA, VERIFICAÇÃO ELÉTRICA, AJUSTES E TESTES. EQUIPAMENTO FUNCIONANDO</t>
  </si>
  <si>
    <t>https://surl.li/dwtuau</t>
  </si>
  <si>
    <t>DATA DE ASSINATURA</t>
  </si>
  <si>
    <t xml:space="preserve"> SEI 2026.560101.25949</t>
  </si>
  <si>
    <t>14774-0</t>
  </si>
  <si>
    <t>venceu em 27/08/2025</t>
  </si>
  <si>
    <t>DATA - MAN. PREVENTIVA</t>
  </si>
  <si>
    <t>DATA - MAN. CORRETIVA</t>
  </si>
  <si>
    <t>TÉCNICO</t>
  </si>
  <si>
    <t>88/2025</t>
  </si>
  <si>
    <t>51792-0</t>
  </si>
  <si>
    <t>39601/2025</t>
  </si>
  <si>
    <t>PÓRTICOS</t>
  </si>
  <si>
    <t>MARANHÃO - CODÓ</t>
  </si>
  <si>
    <t>2025.560101.71477</t>
  </si>
  <si>
    <t>UPR/CODÓ</t>
  </si>
  <si>
    <t>BASE DA SAL</t>
  </si>
  <si>
    <t>COCTS (centro de triagem/slz)</t>
  </si>
  <si>
    <t>#46856654</t>
  </si>
  <si>
    <t>TFNAP-IX-170244</t>
  </si>
  <si>
    <t>34344-0</t>
  </si>
  <si>
    <t>LIMPEZA INTERNA, VERIFICAÇÃO ELÉTRICA E TESTES. EQUIPAMENTO FUNCIONANDO</t>
  </si>
  <si>
    <t>EQUIPAMENTO NAO LIGA, SEM CHAVES DE LIGA/DESLIGA, PLCA PRINCIPAL E PAINEL EM CURTO, BATERIAS DESCARREGADAS</t>
  </si>
  <si>
    <t>https://surl.li/nyjypj</t>
  </si>
  <si>
    <t>PRSLZ</t>
  </si>
  <si>
    <t>35797-0</t>
  </si>
  <si>
    <t>34327-1</t>
  </si>
  <si>
    <t>MARANHÃO - COLINAS</t>
  </si>
  <si>
    <t>#47932500</t>
  </si>
  <si>
    <t>34328-1</t>
  </si>
  <si>
    <t>UPR/COLINAS</t>
  </si>
  <si>
    <t>LIMPEZA, VERIFICAÇÃO ELÉTRICA, TROCA DA BATERIA DA BIOS E TESTES. EQUIPAMENTO FUNCIONANDO</t>
  </si>
  <si>
    <t>TFNAP-IX-170207</t>
  </si>
  <si>
    <t>EFETUADO A PREVENTIVA, PRECISAR TROCAR A PLACA PRINCIPAL E PAINEL QUE ESTÃO EM CURTO E A CHAVES DE LIGAR/DESLIGAR E SUAS BATERIAS</t>
  </si>
  <si>
    <t>https://surl.li/mopelq</t>
  </si>
  <si>
    <t>34326-1</t>
  </si>
  <si>
    <t>venceu em 24/08/2025</t>
  </si>
  <si>
    <t>#46856657</t>
  </si>
  <si>
    <t>MARANHÃO - COROATÁ</t>
  </si>
  <si>
    <t>39607-0</t>
  </si>
  <si>
    <t>Equipamento não liga, sem chaves liga/desliga e chave do teto, placa principal e painel em curto. Baterias não seguram carga</t>
  </si>
  <si>
    <t>#48802818</t>
  </si>
  <si>
    <t>LIMPEZA, VERIFICAÇÃO ELÉTRICA E TESTES CONCLUÍDOS. EQUIPAMENTO EM FUNCIONAMENTO. PENDÊNCIA: TECLADO USB CONVENCIONAL</t>
  </si>
  <si>
    <t>SUBSTITUIÇÃO DO TECLADO USB E TESTES CONCLUÍDOS. EQUIPAMENTO EM FUNCIONAMENTO</t>
  </si>
  <si>
    <t>UPR/COROATÁ</t>
  </si>
  <si>
    <t>https://surl.li/kbwgcb</t>
  </si>
  <si>
    <t>TFNAP-IX-190152</t>
  </si>
  <si>
    <t>34331-0</t>
  </si>
  <si>
    <t>39556-0</t>
  </si>
  <si>
    <t>Equipamento não liga, sem chaves liga/desliga e chave do teto, placa principal e painel em curto. Baterias não seguram carga. Número de série do equipamento no relatório técnico é 34303</t>
  </si>
  <si>
    <t>39558-0</t>
  </si>
  <si>
    <t>#48932123</t>
  </si>
  <si>
    <t>MARANHÃO - DAVINÓPOLIS</t>
  </si>
  <si>
    <t>LIMPEZA DE COMPONENTES E VERIFICAÇÃO ELÉTRICA EXECUTADAS. TESTES REALIZADOS, EQUIPAMENTO OPERANDO NORMALMENTE</t>
  </si>
  <si>
    <t>UPR/DAVINÓPOLIS</t>
  </si>
  <si>
    <t>TFNAP-IX-180241</t>
  </si>
  <si>
    <t>39559-0</t>
  </si>
  <si>
    <t>https://surl.li/tmecxj</t>
  </si>
  <si>
    <t>MARANHÃO - SÃO LUÍS - OLHO D'ÁGUA</t>
  </si>
  <si>
    <t>Equipamento não liga, sem chaves liga/desliga e chave do teto, placa principal e painel em curto. Baterias não seguram carga. Número de série do equipamento no relatório técnico é 33557</t>
  </si>
  <si>
    <t>UPR/OLHO D'ÁGUA</t>
  </si>
  <si>
    <t>MARANHÃO - SÃO LUÍS - MONTE CASTELO</t>
  </si>
  <si>
    <t>UPR/MONTE CASTELO</t>
  </si>
  <si>
    <t>34342-0</t>
  </si>
  <si>
    <t>MARANHÃO - ANIL</t>
  </si>
  <si>
    <t>MARANHÃO - GODOFREDO VIANA</t>
  </si>
  <si>
    <t>14763-0</t>
  </si>
  <si>
    <t>#48932124</t>
  </si>
  <si>
    <t>UPR/GODOFREDO VIANA</t>
  </si>
  <si>
    <t>LIMPEZA DE COMPONENTES E VERIFICAÇÃO ELÉTRICA EFETUADAS. TESTES CONCLUÍDOS, EQUIPAMENTO EM FUNCIONAMENTO</t>
  </si>
  <si>
    <t>TFNAP-IX-150475</t>
  </si>
  <si>
    <t>https://surl.li/bjvsfz</t>
  </si>
  <si>
    <t>34301-0</t>
  </si>
  <si>
    <t>PEÇA: CPU e NOBREAK</t>
  </si>
  <si>
    <t>061/2026 - TAREFA #75509357</t>
  </si>
  <si>
    <t>174/2024</t>
  </si>
  <si>
    <t>2024.560101.71964</t>
  </si>
  <si>
    <t>MANUTENÇÃO CORRETIVA</t>
  </si>
  <si>
    <t>90000-0</t>
  </si>
  <si>
    <t>#49601416</t>
  </si>
  <si>
    <t>MARANHÃO - GRAJAÚ</t>
  </si>
  <si>
    <t>AJUSTE E LIMPEZA DO CABO DE VÍDEO DO MONITOR. TESTES CONCLUÍDOS. EQUIPAMENTO EM FUNCIONAMENTO</t>
  </si>
  <si>
    <t>https://surl.li/dckdet</t>
  </si>
  <si>
    <t>UPR/GRAJAÚ</t>
  </si>
  <si>
    <t>34323-1</t>
  </si>
  <si>
    <t>https://surl.li/ljpbnr</t>
  </si>
  <si>
    <t>TFNAP-IX-180232</t>
  </si>
  <si>
    <t>34324-0</t>
  </si>
  <si>
    <t>PEÇA: DISPLAY PORT - VGA</t>
  </si>
  <si>
    <t>056/2026 - #75510185</t>
  </si>
  <si>
    <t>178/2024</t>
  </si>
  <si>
    <t>PR/GOV. NUNES FREIRE</t>
  </si>
  <si>
    <t>SEI 2026.560101.29823</t>
  </si>
  <si>
    <t>2024.560101.75703</t>
  </si>
  <si>
    <t>35795-0</t>
  </si>
  <si>
    <t>#52163038</t>
  </si>
  <si>
    <t>34307-1</t>
  </si>
  <si>
    <t>HD CHEIO DETECTADO, BACKUP REALIZADO EM HD EXTERNO DO CLIENTE E IMAGENS ANTIGAS EXCLUÍDAS. LIMPEZA DOS SENSORES DA ESTEIRA, FUNCIONANDO</t>
  </si>
  <si>
    <t>34315-1</t>
  </si>
  <si>
    <t>021/2024</t>
  </si>
  <si>
    <t>2024.560101.07063</t>
  </si>
  <si>
    <t>34312-1</t>
  </si>
  <si>
    <t>TFNAP-IX-190171</t>
  </si>
  <si>
    <t>#39674554</t>
  </si>
  <si>
    <t>#41648553</t>
  </si>
  <si>
    <t>SUBSTITUIÇÃO DO MONITOR COM DEFEITO, TROCA DO CABO HDMI, CONFIGURAÇÃO DE VÍDEO E IMAGEM, E CORREÇÃO DE FALHA NO MÓDULO. EQUIPAMENTO EM OPERAÇÃO. SOLICITAR CÂMERA DO INDIVÍDUO</t>
  </si>
  <si>
    <t>SUBSTITUIÇÃO, INSTALAÇÃO E CONFIGURAÇÃO DA CÂMERA DO INDIVÍDUO. TESTES CONCLUÍDOS. EQUIPAMENTO EM FUNCIONAMENTO.</t>
  </si>
  <si>
    <t>https://surl.li/tgmvzh</t>
  </si>
  <si>
    <t>https://surl.li/whmwpm</t>
  </si>
  <si>
    <t>UPR/PINHEIRO</t>
  </si>
  <si>
    <t>35830-0</t>
  </si>
  <si>
    <t>MARANHÃO - ITAPECURU MIRIM</t>
  </si>
  <si>
    <t>UPR/ITAPECURU</t>
  </si>
  <si>
    <t>35901-0</t>
  </si>
  <si>
    <t>TFNAP-IX-180239</t>
  </si>
  <si>
    <t>MARANHÃO - ZÉ DOCA</t>
  </si>
  <si>
    <t>UPR/ZÉ DOCA</t>
  </si>
  <si>
    <t>34314-1</t>
  </si>
  <si>
    <t>#39674586</t>
  </si>
  <si>
    <t>MARANHÃO - BACABAL</t>
  </si>
  <si>
    <t>PR/BACABAL</t>
  </si>
  <si>
    <t>BODYSCAN NÃO INICIALIZAVA. FEITOS REPAROS, LIMPEZA E TESTES. OBS: CLIENTE SOLICITOU CIRCUITO INDEPENDENTE</t>
  </si>
  <si>
    <t>28579-0</t>
  </si>
  <si>
    <t>MARANHÃO - PORTO FRANCO</t>
  </si>
  <si>
    <t>UPR/PORTO FRANCO</t>
  </si>
  <si>
    <t>19719-0</t>
  </si>
  <si>
    <t>TFNAP-IX-190172</t>
  </si>
  <si>
    <t>34313-1</t>
  </si>
  <si>
    <t>#39674605</t>
  </si>
  <si>
    <t>MARANHÃO - SANTA INÊS</t>
  </si>
  <si>
    <t>CABEAMENTO DO INTERLOCK REPARADO, SENSORES E IMAGEM CALIBRADOS, DPS SUBSTITUÍDO. TESTADO E EM OPERAÇÃO</t>
  </si>
  <si>
    <t>UPR/SANTA INÊS</t>
  </si>
  <si>
    <t>18993-0</t>
  </si>
  <si>
    <t>MARANHÃO - PRESIDENTE DUTRA</t>
  </si>
  <si>
    <t>18831-0</t>
  </si>
  <si>
    <t>UPR/PRESIDENTE DUTRA</t>
  </si>
  <si>
    <t>TFNAP-IX-180238</t>
  </si>
  <si>
    <t>MARANHÃO - VIANA</t>
  </si>
  <si>
    <t>UPR/VIANA</t>
  </si>
  <si>
    <t>34309-1</t>
  </si>
  <si>
    <t>#40127141</t>
  </si>
  <si>
    <t>ESTEIRA PARAVA DURANTE O USO. TESTES E DIAGNÓSTICO REALIZADOS, SENSORES FUNCIONANDO. ALINHAMENTO E AJUSTES CONFORME PESO. TESTADO, FUNCIONANDO</t>
  </si>
  <si>
    <t>APAC - PEDREIRAS</t>
  </si>
  <si>
    <t>21827-0</t>
  </si>
  <si>
    <t>MARANHÃO - ROSÁRIO</t>
  </si>
  <si>
    <t>21816-0</t>
  </si>
  <si>
    <t>FUNCIONANDO  SEM CHAVE ON/OFF E SEM CHAVE DO GABINETE</t>
  </si>
  <si>
    <t>UPR/ROSÁRIO</t>
  </si>
  <si>
    <t>TFNAP-1X-180215</t>
  </si>
  <si>
    <t>SPECTRUM BODYSCAN SV</t>
  </si>
  <si>
    <t>21818-0</t>
  </si>
  <si>
    <t>#39674573</t>
  </si>
  <si>
    <t>#43481088</t>
  </si>
  <si>
    <t>ESTEIRA NÃO MOVIMENTAVA. DIAGNÓSTICO IDENTIFICOU ESTABILIZADOR EM CURTO. LIGAÇÃO DIRETA REALIZADA. EQUIPAMENTO FUNCIONANDO. SOLICITADO ESTABILIZADOR</t>
  </si>
  <si>
    <t>ESTABILIZADOR EM CURTO SUBSTITUÍDO POR TRANSFORMADOR. VERIFICAÇÃO E TESTES REALIZADOS. EQUIPAMENTO EM FUNCIONAMENTO</t>
  </si>
  <si>
    <t>21814-0</t>
  </si>
  <si>
    <t>18913-0</t>
  </si>
  <si>
    <t>TFNAP-IX-190167</t>
  </si>
  <si>
    <t>21823-0</t>
  </si>
  <si>
    <t>#39674596</t>
  </si>
  <si>
    <t>BODYSCAN SEM IMAGEM. DR CAUSAVA DESARME. FEITA LIMPEZA E TESTES. FUNCIONANDO. OBS: TROCAR DR POR DISJUNTOR</t>
  </si>
  <si>
    <t>14000-1</t>
  </si>
  <si>
    <t>MARANHÃO - SÃO JOÃO DOS PATOS</t>
  </si>
  <si>
    <t>UPR/SÃO JOÃO DOS PATOS</t>
  </si>
  <si>
    <t>TFNAP-IX-170243</t>
  </si>
  <si>
    <t>PEÇA: PLACA MCB E PLACA INTERFACE</t>
  </si>
  <si>
    <t>MARANHÃO - ITAPECURU</t>
  </si>
  <si>
    <t>066/2026 - TAREFA #76210972</t>
  </si>
  <si>
    <t>34304-1</t>
  </si>
  <si>
    <t>MAL CONTATO NO CABO DE VÍDEO. LIMPEZA, AJUSTES E TESTES REALIZADOS. FUNCIONANDO.</t>
  </si>
  <si>
    <t>TFNAP-IX-170256</t>
  </si>
  <si>
    <t>169/2024</t>
  </si>
  <si>
    <t>39554-0</t>
  </si>
  <si>
    <t>2024.560101.71269</t>
  </si>
  <si>
    <t>PEÇAS: 2 MONITORES, MOTOR DE ESTEIRA, INVERSOR DE FREQUÊNCIA, TECLADO, MCB, XDAQ, CPU, GERADORA, VÍDEO SPLITTER</t>
  </si>
  <si>
    <t>059/2026 - TAREFA  #75510118</t>
  </si>
  <si>
    <t>#49163236</t>
  </si>
  <si>
    <t>EQUIPAMENTO TRAVAVA. LIMPEZA, ATUALIZAÇÃO E TESTES FEITOS. FUNCIONANDO. OBS: MELHORAR REFRIGERAÇÃO</t>
  </si>
  <si>
    <t>18920-0</t>
  </si>
  <si>
    <t>UPRS-02/TIMON-FEMININA</t>
  </si>
  <si>
    <t>TFNAP-IX-170245</t>
  </si>
  <si>
    <t>164/2024</t>
  </si>
  <si>
    <t>GERADOR RAIO-X</t>
  </si>
  <si>
    <t>2024.560101.66616</t>
  </si>
  <si>
    <t>SEI 2026.560101.34092</t>
  </si>
  <si>
    <t>34303-0</t>
  </si>
  <si>
    <t>#48427748</t>
  </si>
  <si>
    <t>DISJUNTOR DO ESTABILIZADOR DESARMADO POR QUEDA DE TENSÃO. DISJUNTOR REATIVADO. TESTES REALIZADOS, FUNCIONANDO</t>
  </si>
  <si>
    <t>TFNAP-IX-180233</t>
  </si>
  <si>
    <t>21811-0</t>
  </si>
  <si>
    <t>151/2024</t>
  </si>
  <si>
    <t xml:space="preserve">PEÇA: CPU E NOBREAK </t>
  </si>
  <si>
    <t>2024.560101.60841</t>
  </si>
  <si>
    <t>OS 054/2026 - TAREFA #75509091</t>
  </si>
  <si>
    <t xml:space="preserve"> SEI 2026.560101.30581</t>
  </si>
  <si>
    <t>#47767308</t>
  </si>
  <si>
    <t>TRAVAMENTO AO ESCANEAR. NO LOCAL, EQUIPAMENTO FUNCIONANDO. REALIZADAS LIMPEZAS, AJUSTES NOS SENSORES E MEDIÇÕES. TESTES REALIZADOS, EQUIPAMENTO EM FUNCIONAMENTO</t>
  </si>
  <si>
    <t>35807-0</t>
  </si>
  <si>
    <t>TFNAP-IX-180237</t>
  </si>
  <si>
    <t>PEÇA: ESTEIRA E NOBREAK</t>
  </si>
  <si>
    <t>OS 050/2026 - TAREFA #75509581</t>
  </si>
  <si>
    <t xml:space="preserve"> SEI 2026.560101.31567</t>
  </si>
  <si>
    <t>35806-0</t>
  </si>
  <si>
    <t>#47767185</t>
  </si>
  <si>
    <t>TROCA DA PLACA INTERFACE, LIMPEZA E AJUSTES REALIZADOS. EQUIPAMENTO FUNCIONANDO. CLIENTE SOLICITOU REPARO NO AR CONDICIONADO</t>
  </si>
  <si>
    <t>TFNPB-XIX-160333</t>
  </si>
  <si>
    <t>19926-0</t>
  </si>
  <si>
    <t>CX10080T</t>
  </si>
  <si>
    <t>145/2024</t>
  </si>
  <si>
    <t>2024.560101.59488</t>
  </si>
  <si>
    <t>#47198671</t>
  </si>
  <si>
    <t>EQUIPAMENTO NÃO LIGAVA. BOTÃO DE EMERGÊNCIA ACIONADO, CORRIGIDO. LIMPEZA NA CPU, RAM E PLACA DE VÍDEO. TESTES CONCLUÍDOS, FUNCIONANDO</t>
  </si>
  <si>
    <t>14771-0</t>
  </si>
  <si>
    <t>TFNPB-XIX-160335</t>
  </si>
  <si>
    <t>MARANHÃO - BARRA DO CORDA</t>
  </si>
  <si>
    <t>144/2024</t>
  </si>
  <si>
    <t>UPR/BARRA DO CORDA</t>
  </si>
  <si>
    <t>TFNPB-XIX-160336</t>
  </si>
  <si>
    <t>2024.560101.59001</t>
  </si>
  <si>
    <t>PEÇA: PLACA MCB</t>
  </si>
  <si>
    <t>35808-0</t>
  </si>
  <si>
    <t>O60/2026 - #75508325</t>
  </si>
  <si>
    <t>TFNPB-XIX-160337</t>
  </si>
  <si>
    <t>#45823416</t>
  </si>
  <si>
    <t>19924-0</t>
  </si>
  <si>
    <t>LIMPEZA DE COMPONENTES, VERIFICAÇÃO DE TENSÃO E TESTES REALIZADOS. EQUIPAMENTO EM FUNCIONAMENTO</t>
  </si>
  <si>
    <t>TFNPB-XIX-160334</t>
  </si>
  <si>
    <t>https://surl.li/hmnuhp</t>
  </si>
  <si>
    <t>https://surl.li/nnzikh</t>
  </si>
  <si>
    <t>19925-0</t>
  </si>
  <si>
    <t>TFN BR1 230029 AP-I-00534</t>
  </si>
  <si>
    <t>CX100100TI</t>
  </si>
  <si>
    <t>em garantia - até 09/2026 não poderá ser executado pelo Contrato n° 56/2026-TECHSCAN (sem cobrança)</t>
  </si>
  <si>
    <t>35800-0</t>
  </si>
  <si>
    <t>TFN BR1 230030 AP-I-00535</t>
  </si>
  <si>
    <t>#45823417</t>
  </si>
  <si>
    <t>SUBSTITUIÇÃO DO COOLER DA CPU, LIMPEZA DE COMPONENTES E VERIFICAÇÃO DE TENSÃO. TESTES REALIZADOS, FUNCIONANDO</t>
  </si>
  <si>
    <t>TFN BR1 230021 AP-I-00526</t>
  </si>
  <si>
    <t>34336-0</t>
  </si>
  <si>
    <t>PR/IMPERATRIZ
(deveria ser APAC DE SLZ)</t>
  </si>
  <si>
    <t>35804-0</t>
  </si>
  <si>
    <t>TFN BR1 230031 AP-I-00536</t>
  </si>
  <si>
    <t>PR/BALSAS</t>
  </si>
  <si>
    <t>SEM CONTRATO (em garantia até 2027)</t>
  </si>
  <si>
    <t>19821-0</t>
  </si>
  <si>
    <t>PAINEL COM DEFEITO</t>
  </si>
  <si>
    <t>#45823418</t>
  </si>
  <si>
    <t>TROCA DE PAINEL</t>
  </si>
  <si>
    <t>TFN BR1 240018 AP-I-00643</t>
  </si>
  <si>
    <t>SEM CONTRATO</t>
  </si>
  <si>
    <t>em garantia - em 2027 entrar por aditivo</t>
  </si>
  <si>
    <t>LIMPEZA DE COMPONENTES, VERIFICAÇÃO DE TENSÃO E TESTES, FUNCIONANDO</t>
  </si>
  <si>
    <t>32802-0</t>
  </si>
  <si>
    <t>MARANHÃO - BREJO</t>
  </si>
  <si>
    <t>PR/BREJO</t>
  </si>
  <si>
    <t>TFN BR1 230080 AP-I-00585</t>
  </si>
  <si>
    <t>139/2024</t>
  </si>
  <si>
    <t>19923-0</t>
  </si>
  <si>
    <t>2024.560101.54905</t>
  </si>
  <si>
    <t>#46770692</t>
  </si>
  <si>
    <t>TFN BR1 240019 AP-I-00644</t>
  </si>
  <si>
    <t>18917-0</t>
  </si>
  <si>
    <t>EQUIPAMENTO NÃO SALVAVA IMAGENS. PASTAS DE 2021 E 2022 DELETADAS COM AUTORIZAÇÃO. EQUIPAMENTO FUNCIONANDO</t>
  </si>
  <si>
    <t>SEM CONTRATO (Doação - Operação Multi)</t>
  </si>
  <si>
    <t>METTUS ASD</t>
  </si>
  <si>
    <t>176/2024</t>
  </si>
  <si>
    <t>TFN BR1 250059 PV-XIV-00844</t>
  </si>
  <si>
    <t>18839-0</t>
  </si>
  <si>
    <t>2024.560101.73701</t>
  </si>
  <si>
    <t>aguardando informação - SAL</t>
  </si>
  <si>
    <t>#52633278</t>
  </si>
  <si>
    <t>#52746347</t>
  </si>
  <si>
    <t>DETECTADO CURTO NA XDAQ E CABO FLAT DANIFICADO. TROCA DO CABO E SENSOR DA ESTEIRA DEFEITUOSO. TESTES REALIZADOS, EQUIPAMENTO FUNCIONANDO. SOLICITAR XDAQ COMPATÍVEL</t>
  </si>
  <si>
    <t>FEITO A SUBSTIUIÇÃO DA PLACA XDAQ. EQUIPAMENTO  FUNCIONANDO.</t>
  </si>
  <si>
    <t>https://encurtador.com.br/IxkX4</t>
  </si>
  <si>
    <t>TFN BR1 250069 PV-XIV-00854</t>
  </si>
  <si>
    <t>21819-0</t>
  </si>
  <si>
    <t>https://encurtador.com.br/4nR5Z</t>
  </si>
  <si>
    <t>21820-0</t>
  </si>
  <si>
    <t>TFN BR1 250055 PV-XIV-00840</t>
  </si>
  <si>
    <t>137/2024</t>
  </si>
  <si>
    <t>2024.560101.55209</t>
  </si>
  <si>
    <t>#46770520</t>
  </si>
  <si>
    <t>21822-0</t>
  </si>
  <si>
    <t>FIO SOLTO APERTADO, UMA CÂMERA SUBSTITUÍDA, OUTRA COM CABO REFEITO. FUNCIONANDO</t>
  </si>
  <si>
    <t>34311-1</t>
  </si>
  <si>
    <t>132/2024</t>
  </si>
  <si>
    <t>2024.560101.51858</t>
  </si>
  <si>
    <t>#46329125</t>
  </si>
  <si>
    <t>21821-0</t>
  </si>
  <si>
    <t>NOVO NOBREAK SUBSTITUINDO O QUEIMADO. SISTEMA OPERACIONAL E CPU VERIFICADOS POR DESLIGAMENTO REPENTINO. PROBLEMA IDENTIFICADO NA PLACA DE VÍDEO. REALIZADA LIMPEZA, FUNCIONANDO</t>
  </si>
  <si>
    <t>126/2024</t>
  </si>
  <si>
    <t>2024.560101.50918</t>
  </si>
  <si>
    <t>#46086656</t>
  </si>
  <si>
    <t>BODYSCAN NÃO INICIALIZAVA. TROCA DA PLACA MCB, KIT MOSFET, ATUALIZAÇÃO E CONFIGURAÇÃO DO SOFTWARE. TESTADO E FUNCIONANDO</t>
  </si>
  <si>
    <t>125/2024</t>
  </si>
  <si>
    <t>2024.560101.46807</t>
  </si>
  <si>
    <t>#46329276</t>
  </si>
  <si>
    <t>#46434157</t>
  </si>
  <si>
    <t>CABO FLAT DA XGCU DANIFICADO, IMPEDINDO FUNCIONAMENTO. JÁ SOLICITADO EM ATENDIMENTO ANTERIOR. EQUIPAMENTO PARADO COM URGÊNCIA</t>
  </si>
  <si>
    <t>REALIZADA TROCA DO CABO FLAT DA PLACA XGCU E AJUSTES PARA MELHORAR A QUALIDADE DAS IMAGENS, FUNCIONANDO</t>
  </si>
  <si>
    <t>DEFEITO APRESENTADO/SERVIÇO EFETUADO</t>
  </si>
  <si>
    <t>TROCA DE PEÇAS</t>
  </si>
  <si>
    <t>OBS TROCA DE PEÇAS</t>
  </si>
  <si>
    <t>116/2024</t>
  </si>
  <si>
    <t>DATA DA TROCA DE PEÇAS</t>
  </si>
  <si>
    <t>2024.560101.47346</t>
  </si>
  <si>
    <t>#45587301</t>
  </si>
  <si>
    <t>#45681726</t>
  </si>
  <si>
    <t>NOBREAK EM CURTO, EQUIPAMENTO LIGADO SEM ELE. TROCA DA PASTA TÉRMICA, LIMPEZA NA PLACA DE VÍDEO, MEMÓRIA RAM E CABOS. TESTADO E FUNCIONANDO</t>
  </si>
  <si>
    <t>TROCA DE NO-BREAK QUEIMADO. FUNCIONANDO</t>
  </si>
  <si>
    <t>Guardado em funcionamento por opção da direção da unidade (relatório do técnico)</t>
  </si>
  <si>
    <t>115/2024</t>
  </si>
  <si>
    <t>2024.560101.46574</t>
  </si>
  <si>
    <t>19728-0</t>
  </si>
  <si>
    <t>#45586739</t>
  </si>
  <si>
    <t>TRAVAMENTO NA ESTEIRA AO INICIAR SCANEAMENTO. AJUSTES E LIMPEZA DOS SENSORES, MEDIÇÃO DAS BATERIAS DO NOBREAK E CONEXÃO DO CABO DE ALIMENTAÇÃO, FUNCIONANDO</t>
  </si>
  <si>
    <t>WESLEY</t>
  </si>
  <si>
    <t>PENDENTE</t>
  </si>
  <si>
    <t>109/2024</t>
  </si>
  <si>
    <t>2024.560101.41942</t>
  </si>
  <si>
    <t>19768-0</t>
  </si>
  <si>
    <t>#45584418</t>
  </si>
  <si>
    <t>FALHA DE DESLIGAMENTO DEVIDO A MAL CONTATO NO CABO DO TECLADO (APENAS 1 PARAFUSO). FIXADO PARAFUSO, FUNCIONANDO</t>
  </si>
  <si>
    <t>18837-0</t>
  </si>
  <si>
    <t>34349-0</t>
  </si>
  <si>
    <t>35900-0</t>
  </si>
  <si>
    <t>103/2024</t>
  </si>
  <si>
    <t>2024.560101.40867</t>
  </si>
  <si>
    <t>#44767691</t>
  </si>
  <si>
    <t>35809-0</t>
  </si>
  <si>
    <t>NOBREAK EM CURTO, SUBSTITUÍDO. MONITOR COM CONFIGURAÇÃO DE VÍDEO INCORRETA, AJUSTADO. EQUIPAMENTO FUNCIONANDO</t>
  </si>
  <si>
    <t>101/2024</t>
  </si>
  <si>
    <t>2024.560101.41101</t>
  </si>
  <si>
    <t>UPR/BREJO</t>
  </si>
  <si>
    <t>51839-0</t>
  </si>
  <si>
    <t>#44599529</t>
  </si>
  <si>
    <t>EQUIPAMENTO NÃO LIGAVA. IDENTIFICADO MAL CONTATO NO CABO DO INTERLOK, REALIZADA CORREÇÃO. TESTADO E FUNCIONANDO</t>
  </si>
  <si>
    <t>51840-0</t>
  </si>
  <si>
    <t>098/2024</t>
  </si>
  <si>
    <t>2024.560101.35525</t>
  </si>
  <si>
    <t>#43032416</t>
  </si>
  <si>
    <t>LIMPEZA DE COMPONENTES, VERIFICAÇÃO DE TENSÃO E AJUSTE DAS MOLAS AÉREAS. TESTADO E FUNCIONANDO</t>
  </si>
  <si>
    <t>https://surl.li/fwsfkz</t>
  </si>
  <si>
    <t>21826-0</t>
  </si>
  <si>
    <t>https://surl.li/ypharj</t>
  </si>
  <si>
    <t>Equipamento não liga, sem painel e chave do teto, placa principal. Baterias não seguram carga</t>
  </si>
  <si>
    <t>34322-1</t>
  </si>
  <si>
    <t>#43032303</t>
  </si>
  <si>
    <t>LIMPEZA DE COMPONENTES, VERIFICAÇÃO DE TENSÃO E REMANEJAMENTO DA MESA. FUNCIONANDO</t>
  </si>
  <si>
    <t>34318-1</t>
  </si>
  <si>
    <t>Equipamento liga, porem fica disparando, sem chaves liga/desliga e chave do teto, placa principal em curto. Baterias não seguram carga</t>
  </si>
  <si>
    <t>34317-1</t>
  </si>
  <si>
    <t>#43032283</t>
  </si>
  <si>
    <t>#44587854</t>
  </si>
  <si>
    <t>LIMPEZA REALIZADA, VERIFICAÇÃO DE TENSÃO, SUBSTITUÍDO COOLER TRASEIRO E FUSÍVEL DO FILTRO DE LINHA. MONITOR COM DEFEITO IDENTIFICADO, SOLICITAR SUBSTITUIÇÃO, FUNCIONANDO</t>
  </si>
  <si>
    <t>MONITOR SUBSTITUÍDO DEVIDO A LISTAS E TELA ESGRADEADA. TESTADO E FUNCIONANDO</t>
  </si>
  <si>
    <t>18911-0</t>
  </si>
  <si>
    <t>39610-0</t>
  </si>
  <si>
    <t>#43032373</t>
  </si>
  <si>
    <t>18910-0</t>
  </si>
  <si>
    <t>#45500867</t>
  </si>
  <si>
    <t>LIMPEZA REALIZADA, VERIFICAÇÃO DE TENSÃO, IDENTIFICADO DEFEITO NA MOLA AÉREA DA PORTA (SOLICITAR SUBSTITUIÇÃO), FUNCIONANDO.</t>
  </si>
  <si>
    <t>SUBSTITUIÇÃO DA MOLA AÉREA COM DEFEITO E LIMPEZA DOS SENSORES DA ESTEIRA. FUNCIONANDO AMBOS OS LADOS. EQUIPAMENTO OPERACIONAL.</t>
  </si>
  <si>
    <t>Equipamento sem chaves liga/desliga e chave do teto. Baterias não seguram carga. Teste realizado e equipamento funcionando perfeitamente</t>
  </si>
  <si>
    <t>#43032272</t>
  </si>
  <si>
    <t>PR/IMPERATRIZ
(deveria ser APAC DE ITZ)</t>
  </si>
  <si>
    <t>#44459985</t>
  </si>
  <si>
    <t>19868-0</t>
  </si>
  <si>
    <t>LIMPEZA REALIZADA. FALHA NO GRÁFICO DO GERADOR E DEFEITO NA CONTROLADORA IDENTIFICADOS. NECESSÁRIA SUBSTITUIÇÃO. EQUIPAMENTO PARADO</t>
  </si>
  <si>
    <t>SUBSTITUIÇÃO DA CONTROLADORA, ATUALIZAÇÃO DO SOFTWARE PARA VERSÃO 2.37.15, AJUSTES E PARÂMETROS REALIZADOS. TESTADO E FUNCIONANDO</t>
  </si>
  <si>
    <t>35803-0</t>
  </si>
  <si>
    <t>Equipamento estava disparando realizado novos ajustes e ficou funcionando perfeitamente.</t>
  </si>
  <si>
    <t>#43032196</t>
  </si>
  <si>
    <t>14764-0</t>
  </si>
  <si>
    <t>#44284221</t>
  </si>
  <si>
    <t>LIMPEZA REALIZADA, VERIFICAÇÃO DE TENSÃO. LEITOR BIOMÉTRICO COM DEFEITO, NECESSÁRIO SOLICITAR SUBSTITUIÇÃO. TESTADO E EQUIPAMENTO FUNCIONANDO.</t>
  </si>
  <si>
    <t>SUBSTITUIÇÃO REALIZADA, LIMPEZA DOS SENSORES E MONITORES. TESTADO E EQUIPAMENTO FUNCIONANDO</t>
  </si>
  <si>
    <t>Localizado na Unidade, porém guardado na Casa de Bomba (desmontado)</t>
  </si>
  <si>
    <t>NOVA AVALIAÇÃO</t>
  </si>
  <si>
    <t>#43032406</t>
  </si>
  <si>
    <t>LIMPEZA DE COMPONENTES, VERIFICAÇÃO DE TENSÃO, AJUSTE DOS SENSORES DA ESTEIRA. TESTADO E FUNCIONANDO</t>
  </si>
  <si>
    <t>CAAE (casa de albergado)</t>
  </si>
  <si>
    <t>39555-0</t>
  </si>
  <si>
    <t>Localizada na Unidade, porém o local se encontrava em reforma (desmontado)</t>
  </si>
  <si>
    <t>APAC - ITAPECURU</t>
  </si>
  <si>
    <t>34302-1</t>
  </si>
  <si>
    <t>Localizada na APAC de Timon (desmontado)</t>
  </si>
  <si>
    <t>Equipamento funcionando perfeitamente, baterias descarregadas.</t>
  </si>
  <si>
    <t>#43942104</t>
  </si>
  <si>
    <t>LIMPEZA DE COMPONENTES, SUBSTITUIÇÃO DE PASTA TÉRMICA DO COOLER E PILHAS DA BALANÇA, VERIFICAÇÃO DE TENSÃO. TESTADO E FUNCIONANDO</t>
  </si>
  <si>
    <t>18915-0</t>
  </si>
  <si>
    <t>Localizado no Setor de Patrimônio da SEAP (montada)</t>
  </si>
  <si>
    <t>ANÁLISE LABORATORIAL</t>
  </si>
  <si>
    <t>#43032192</t>
  </si>
  <si>
    <t>#44473001</t>
  </si>
  <si>
    <t>LIMPEZA REALIZADA. CABO FLAT 2 PARTIDO POR RATO E CABO 1 DANIFICADO. NECESSÁRIA SUBSTITUIÇÃO, FUNCIONANDO</t>
  </si>
  <si>
    <t>EQUIPAMENTO PARADO POR RUÍDOS. FILHOTES DE GATOS REMOVIDOS, CABOS TROCADOS. FUNCIONANDO. ORIENTADO FECHAR ACESSOS</t>
  </si>
  <si>
    <t>#44850694</t>
  </si>
  <si>
    <t>LIMPEZA DE COMPONENTES E VERIFICAÇÃO ELÉTRICA EFETUADAS. VMI NÃO RESPONSABILIZA PELO BACKUP DO HD. TESTES CONCLUÍDOS, EQUIPAMENTO EM FUNCIONAMENTO</t>
  </si>
  <si>
    <t>Equipamento sem chaves liga/desliga e chave do teto. Teste realizado e equipamento funcionando perfeitamente.</t>
  </si>
  <si>
    <t>#44850695</t>
  </si>
  <si>
    <t>CABO FLAT DA PLACA XGCU DANIFICADO, SOLICITAR SUBSTITUIÇÃO. LIMPEZA E VERIFICAÇÃO COMPLETAS. EQUIPAMENTO FUNCIONANDO PARCIALMENTE, SCANEIA APENAS TÓRAX NO DUAL VIEW</t>
  </si>
  <si>
    <t>080/2024</t>
  </si>
  <si>
    <t>2024.560101.33951</t>
  </si>
  <si>
    <t>Equipamento sem chaves liga/desliga e chave do teto, realizado ajustes de sensibilidade e de frequência. Teste realizado e equipamento funcionando perfeitamente.</t>
  </si>
  <si>
    <t>#42502508</t>
  </si>
  <si>
    <t>LIMPEZA DA CPU, MEMÓRIA RAM, SENSORES, VENTOINHAS E ESTEIRA EFETUADA. MEDIÇÃO DE TENSÃO VERIFICADA E PILHA DA BALANÇA SUBSTITUÍDA. TESTES REALIZADOS, FUNCIONANDO</t>
  </si>
  <si>
    <t>34343-0</t>
  </si>
  <si>
    <t>#42503514</t>
  </si>
  <si>
    <t>LIMPEZA DA CPU, MEMÓRIA RAM, PLACA DE VÍDEO, SENSORES E VENTOINHAS EFETUADA. MEDIÇÃO DE TENSÃO VERIFICADA. TESTES REALIZADOS, FUNCIONANDO</t>
  </si>
  <si>
    <t>078/2024</t>
  </si>
  <si>
    <t>34350-0</t>
  </si>
  <si>
    <t>2024.560101.32080</t>
  </si>
  <si>
    <t>#43616913</t>
  </si>
  <si>
    <t>LIMPEZA E VERIFICAÇÃO DAS BATERIAS (12 VDC) EFETUADAS. NOBREAK E EQUIPAMENTO EM FUNCIONAMENTO</t>
  </si>
  <si>
    <t>Realizado preventiva com ajuste de sensibilidade e canal , portal está funcionando perfeitamente</t>
  </si>
  <si>
    <t>MARANHÃO - PAÇO DO LUMIAR</t>
  </si>
  <si>
    <t>068/2024</t>
  </si>
  <si>
    <t>UPR/PAÇO DO LUMIAR</t>
  </si>
  <si>
    <t>2024.560101.27581</t>
  </si>
  <si>
    <t>34333-0</t>
  </si>
  <si>
    <t>#43230243</t>
  </si>
  <si>
    <t>DIAGNÓSTICO INDICOU FUSÍVEL EM CURTO NA TOMADA DO FILTRO DE LINHA E BOTÃO DE EMERGÊNCIA ACIONADO. FUSÍVEL SUBSTITUÍDO E BOTÃO DESARMADO. TESTES REALIZADOS, EQUIPAMENTO EM FUNCIONAMENTO</t>
  </si>
  <si>
    <t>060/2024</t>
  </si>
  <si>
    <t>2024.560101.22594</t>
  </si>
  <si>
    <t>#42123225</t>
  </si>
  <si>
    <t>CORRIGIDO MAL CONTATO NO INTERLOCK DA PORTA TRASEIRA COM INSTALAÇÃO PRÓXIMA À PORTA. REALIZADA LUBRIFICAÇÃO DAS PORTAS E AJUSTE NAS MOLAS AÉREAS, FUNCIONANDO</t>
  </si>
  <si>
    <t>059/2024</t>
  </si>
  <si>
    <t>2024.560101.22076</t>
  </si>
  <si>
    <t>#41934501</t>
  </si>
  <si>
    <t>Realizado preventiva verificado os ajustes e o portal está funcionando perfeitamente</t>
  </si>
  <si>
    <t>LIMPEZA DA CPU, MEMÓRIA RAM, PLACA DE VÍDEO, MONITORES, SENSORES E VENTOINHAS CONCLUÍDA. CONFIGURAÇÃO DA COLIMAÇÃO E VERIFICAÇÃO DE TENSÃO EFETUADAS. EQUIPAMENTO EM FUNCIONAMENTO</t>
  </si>
  <si>
    <t>#41934567</t>
  </si>
  <si>
    <t>VISTORIA NO BODYSCAN APÓS QUEDA DE TENSÃO. LIMPEZA, ATUALIZAÇÃO DO SOFTWARE E CONFIGURAÇÃO REALIZADAS. EQUIPAMENTO EM FUNCIONAMENTO</t>
  </si>
  <si>
    <t>Equipamento não liga, sem chaves liga/desliga e chave do teto, placa principal, fonte e painel em curto. Baterias não seguram carga</t>
  </si>
  <si>
    <t>#42040405</t>
  </si>
  <si>
    <t>#42724254</t>
  </si>
  <si>
    <t>FONTE DA XGCU EM CURTO E MONITOR DO TÓRAX COM DEFEITO. SUBSTITUIÇÃO NECESSÁRIA. EQUIPAMENTO FUNCIONA SOMENTE COM O MONITOR PRINCIPAL</t>
  </si>
  <si>
    <t>SUBSTITUÍDOS MONITOR DO TÓRAX E FONTE DA PLACA XGCU. TESTES CONCLUÍDOS, EQUIPAMENTO EM FUNCIONAMENTO</t>
  </si>
  <si>
    <t>052/2024</t>
  </si>
  <si>
    <t>2024.560101.35818</t>
  </si>
  <si>
    <t>#40869909</t>
  </si>
  <si>
    <t>Equipamento não liga, sem chaves liga/desliga e chave do teto, placa principal com defeito, cabo de alimentação danificado. Baterias não seguram carga</t>
  </si>
  <si>
    <t>BOTÃO DE EMERGÊNCIA ACIONADO; CORRIGIDO. ORIENTADO OPERADOR SOBRE VERIFICAÇÕES. TESTES OK, EQUIPAMENTO FUNCIONANDO</t>
  </si>
  <si>
    <t>34330-0</t>
  </si>
  <si>
    <t>026/2024</t>
  </si>
  <si>
    <t>2024.560101.11435</t>
  </si>
  <si>
    <t>#40180672</t>
  </si>
  <si>
    <t>#40516305</t>
  </si>
  <si>
    <t>TÉCNICO REALIZOU MANUTENÇÃO PREVENTIVA NO BODYSCAN, DIAGNÓSTICO: PLACA MCB EM CURTO E QUEIMADA</t>
  </si>
  <si>
    <t>34308-1</t>
  </si>
  <si>
    <t>COOLER E PEÇAS SUBSTITUÍDOS. XDAQ TÓRAX COM DEFEITO; EQUIPAMENTO OPERANDO EM MODO SV. TESTES OK, FUNCIONANDO - #42723455 (TRATATIVA DA TRATATIVA)</t>
  </si>
  <si>
    <t>Equipamento em curto, sem chaves do gabinete e chaves liga desliga, fonte e painel danificados e as antenas em curto</t>
  </si>
  <si>
    <t>#42723455</t>
  </si>
  <si>
    <t>TRATATIVA DA TRATATIVA #40516305 - TRATATIVA REALIZADA NO BODYSCAN. SUBSTITUÍDA PLACA XDAQ DO TÓRAX. TESTES E CONFIGURAÇÃO OK. EQUIPAMENTO FUNCIONANDO</t>
  </si>
  <si>
    <t>34332-0</t>
  </si>
  <si>
    <t>025/2024</t>
  </si>
  <si>
    <t>#40180219</t>
  </si>
  <si>
    <t>LIMPEZA DE CPU, MEMÓRIA RAM, PLACA DE VÍDEO, SENSORES E VENTOINHAS. VERIFICAÇÃO DE TENSÕES E AJUSTE DA MOLA DA PORTA. TESTES OK, EQUIPAMENTO FUNCIONANDO</t>
  </si>
  <si>
    <t>024/2024</t>
  </si>
  <si>
    <t>34348-0</t>
  </si>
  <si>
    <t>#40180033</t>
  </si>
  <si>
    <t>LIMPEZA DE CPU, MEMÓRIA RAM, PLACA DE VÍDEO, SENSORES, VENTOINHAS E ESTEIRA. VERIFICAÇÃO DE TENSÕES. TESTES OK, EQUIPAMENTO FUNCIONANDO</t>
  </si>
  <si>
    <t>Equipamento está funcionando, porem teclado não está funcionando, baterias não seguram carga e não possui chaves.</t>
  </si>
  <si>
    <t>022/2024</t>
  </si>
  <si>
    <t>2024.560101.08936</t>
  </si>
  <si>
    <t>#37523906</t>
  </si>
  <si>
    <t>GARANTIA</t>
  </si>
  <si>
    <t>#40012053</t>
  </si>
  <si>
    <t>LIMPEZA REALIZADA, TENSÕES VERIFICADAS. MONITOR COM DEFEITO; SOLICITAR SUBSTITUIÇÃO. TESTES OK, EQUIPAMENTO FUNCIONANDO</t>
  </si>
  <si>
    <t>SUBSTITUÍDO MONITOR 22P E DPS EM CURTO. TESTES OK, AMBOS OS MONITORES FUNCIONANDO</t>
  </si>
  <si>
    <t>https://surl.li/ceaaex</t>
  </si>
  <si>
    <t>Em garantia - equipamento operando, porém recomendado o envio da placa/painel para análise</t>
  </si>
  <si>
    <t>https://surl.li/kcimyf</t>
  </si>
  <si>
    <t>Equipamento está funcionando e nos teste realizado respondeu muito bem, porem não possui chaves e baterias descarregadas.</t>
  </si>
  <si>
    <t>Trocado Chaves liga desliga e do gabinete.</t>
  </si>
  <si>
    <t>#37523997</t>
  </si>
  <si>
    <t>LIMPEZA REALIZADA EM CPU, PLACA DE VÍDEO, MEMÓRIA RAM, VENTOINHAS E SENSORES. TENSÕES VERIFICADAS E DPS SUBSTITUÍDO. EQUIPAMENTO FUNCIONANDO</t>
  </si>
  <si>
    <t>CONDENADO - DETRONIX</t>
  </si>
  <si>
    <t>Equipamento está funcionando e nos teste realizado respondeu muito bem, porem não tem chaves e as baterias estão descarregadas.</t>
  </si>
  <si>
    <t>#40110121</t>
  </si>
  <si>
    <t>#40554903</t>
  </si>
  <si>
    <t>PREVENTIVA NÃO REALIZADA. EQUIPAMENTO INOPERANTE; IDENTIFICADA PLACA MCB QUEIMADA.</t>
  </si>
  <si>
    <t>VISTORIA NO BODYSCAN. PLACA MCB SUBSTITUÍDA. CONJUNTO TUBO E GERADORA DE RAIO-X COM DEFEITO; SOLICITAR SUBSTITUIÇÃO. EQUIPAMENTO PARADO</t>
  </si>
  <si>
    <t>#40794021</t>
  </si>
  <si>
    <t>TRATATIVA DA TRATATIVA #40554903 - SUBSTITUÍDOS MCB, TUBO DE RAIO-X E COOLER. CONFIGURAÇÃO REALIZADA. EQUIPAMENTO OPERACIONAL</t>
  </si>
  <si>
    <t>Realizado análise e o portal está sem chaves e sem cabo de alimentação, placa  e fonte com oxidação, antenas com conector danificado.</t>
  </si>
  <si>
    <t>#40109514</t>
  </si>
  <si>
    <t>MANUTENÇÃO PREVENTIVA REALIZADA NO BODYSCAN DA PENITENCIÁRIA PU1 DE PEDRINHAS. EQUIPAMENTO FUNCIONANDO</t>
  </si>
  <si>
    <t>#40109757</t>
  </si>
  <si>
    <t>MANUTENÇÃO PREVENTIVA REALIZADA NO BODYSCAN DA PENITENCIÁRIA UP1 DE PEDRINHAS. EQUIPAMENTO FUNCIONANDO</t>
  </si>
  <si>
    <t>Equipamento não foi possível avaliar pois o mesmo está sem placa, sem painel, sem cabos, fonte com muita oxidação e antenas sem tampas e danificadas.</t>
  </si>
  <si>
    <t>#40109846</t>
  </si>
  <si>
    <t>MANUTENÇÃO PREVENTIVA REALIZADA NO BODYSCAN DA PENITENCIÁRIA UP2 DE PEDRINHAS. EQUIPAMENTO FUNCIONANDO</t>
  </si>
  <si>
    <t>Realizado análise e o portal está sem chaves e sem cabo de alimentação, placa principal em curto, sem fusível de proteção e sem painel.</t>
  </si>
  <si>
    <t>DEFEITO CHAVE DO PAINEL E CHAVE DE GABINETE</t>
  </si>
  <si>
    <t>TROCA CHAVE DO PAINEL E CHAVE DE GABINETE</t>
  </si>
  <si>
    <t>TRATATIVA DA TRATATIVA</t>
  </si>
  <si>
    <t>OBSERVAÇÕES TRATATIVA (TRATATIVA)</t>
  </si>
  <si>
    <t>CRONOGRAMA</t>
  </si>
  <si>
    <t>#40110061</t>
  </si>
  <si>
    <t>02406/2025</t>
  </si>
  <si>
    <t>50/2026</t>
  </si>
  <si>
    <t>MANUTENÇÃO PREVENTIVA REALIZADA NO BODYSCAN DA PENITENCIÁRIA UP MAX. EQUIPAMENTO FUNCIONANDO</t>
  </si>
  <si>
    <t>ESTEIRA</t>
  </si>
  <si>
    <t>2026.560101.31567</t>
  </si>
  <si>
    <t>TFNAP-IX- 180237</t>
  </si>
  <si>
    <t>#75509581</t>
  </si>
  <si>
    <t>FOI REALIZADA A LIMPEZA E VERIFICAÇÃO DO EQUIPAMENTO, SENDO CONSTATADO QUE A ESTEIRA DANIFICADA ESTÁ MARCANDO A IMAGEM. TAMBÉM FOI IDENTIFICADA A AUSÊNCIA DE NO-BREAK. EQUIPAMENTO OPERANDO NORMALMENTE.</t>
  </si>
  <si>
    <t>https://drive.google.com/drive/u/1/folders/1yVmYuO9mUXVAklaUx6VvsiJXSyK5I1cG</t>
  </si>
  <si>
    <t>https://app3.auvo.com.br/informacoes/tarefa/6071e2b4-2b1f-4410-867f-2acd65ca0651?chave=BBtYkSLkNrLCIJc-yQy-SA</t>
  </si>
  <si>
    <t>#40110153</t>
  </si>
  <si>
    <t>LIMPEZA DE CPU, MEMÓRIA RAM, PLACA DE VÍDEO, SENSORES E VENTOINHAS. TENSÕES VERIFICADAS. TESTES OK, EQUIPAMENTO FUNCIONANDO</t>
  </si>
  <si>
    <t>Equipamento com baterias danificadas e sensor IV com defeito. Realizado preventiva no portal, limpa contato e ajustes, portal fico funcionado bem.</t>
  </si>
  <si>
    <t>51/2026</t>
  </si>
  <si>
    <t>2026.560101.25949</t>
  </si>
  <si>
    <t>001/2025</t>
  </si>
  <si>
    <t>2025.560101.02627</t>
  </si>
  <si>
    <t>#75508876</t>
  </si>
  <si>
    <t>FOI IDENTIFICADA FALHA NA PLACA DE VÍDEO OFFBOARD, IMPEDINDO A EXIBIÇÃO DE IMAGEM. APÓS TESTES COM A PLACA ONBOARD E LIMPEZA DA PLACA OFFBOARD COM LIMPA CONTATO, O COMPONENTE VOLTOU A FUNCIONAR NORMALMENTE. EQUIPAMENTO OPERACIONAL.</t>
  </si>
  <si>
    <t>#52844403</t>
  </si>
  <si>
    <t>https://drive.google.com/drive/u/1/folders/1aAORYNqucpLZ7VUwbolKx1S4EMiwudcS</t>
  </si>
  <si>
    <t>. LIMPEZA E TESTES REALIZADOS. EQUIPAMENTO FUNCIONANDO</t>
  </si>
  <si>
    <t>https://drive.google.com/drive/u/1/folders/1z-3Ivec7u_6zOlaYQ2DduOGPKOaB0zhq</t>
  </si>
  <si>
    <t>CHAVE DO GABINETE E CHAVE ON OFF COM DEFEITOS</t>
  </si>
  <si>
    <t>TROCA CHAVE DO GABINETE E CHAVE ON OFF</t>
  </si>
  <si>
    <t>52/2026</t>
  </si>
  <si>
    <t>2025.560101.67421</t>
  </si>
  <si>
    <t>Equipamento com baterias danificadas e barra de led não está funcionando Zona 8. Realizado preventiva no portal, ajustes porem o portal ficou operando com restrição da zona 8.</t>
  </si>
  <si>
    <t>#75509873</t>
  </si>
  <si>
    <t>FOI REALIZADA A LIMPEZA E TESTES FUNCIONAIS DO EQUIPAMENTO, SENDO CONSTATADO QUE A CPU TECON NÃO INICIALIZA. AS FONTES APRESENTARAM TENSÕES NORMAIS, PORÉM A UNIDADE SOFRE COM OSCILAÇÕES CONSTANTES DE ENERGIA.</t>
  </si>
  <si>
    <t>#52748523</t>
  </si>
  <si>
    <t>https://app3.auvo.com.br/informacoes/tarefa/607b2a4a-0a9e-4a52-af30-62e13218acc7?chave=PLrvhrpR0uarJtY1WCXT1g</t>
  </si>
  <si>
    <t>MONITOR SECUNDÁRIO SEM VÍDEO. DETECTADO CABO HDMI COM DEFEITO. CABO SUBSTITUÍDO E TESTES REALIZADOS. EQUIPAMENTO FUNCIONANDO</t>
  </si>
  <si>
    <t>CHAVE DO GABINETE E CHAVE DO PAINEL</t>
  </si>
  <si>
    <t>TROCA DE CHAVE DO GABINETE E CHAVE DO PAINEL</t>
  </si>
  <si>
    <t>53/2026</t>
  </si>
  <si>
    <t>2026.560101.37947</t>
  </si>
  <si>
    <t>004/2025</t>
  </si>
  <si>
    <t>PU 1</t>
  </si>
  <si>
    <t>2025.560101.05183</t>
  </si>
  <si>
    <t>#75508129</t>
  </si>
  <si>
    <t>Equipamento com baterias danificadas e  perfil extrusado quebrado, senhas alteradas. Realizado preventiva no portal, ajustes porem o portal ficou oscilando.</t>
  </si>
  <si>
    <t>FOI REALIZADA VERIFICAÇÃO DA MÁQUINA DE RAIO-X NUCTECH CX6040BI, SENDO CONSTATADA A AUSÊNCIA DA CPU, DE DOIS MONITORES E VAZAMENTO DE ÓLEO NO GERADOR DE RAIO-X. NÃO FOI POSSÍVEL REALIZAR O TESTE RADIOMÉTRICO NEM OS DEMAIS TESTES DOS SUBSISTEMAS. NECESSÁRIA A AQUISIÇÃO DOS COMPONENTES PARA CONTINUIDADE DA AVALIAÇÃO.</t>
  </si>
  <si>
    <t>https://drive.google.com/drive/u/1/folders/1L9Wjoedjeq8PVu1TLyEQMHbJA3WmfOYe</t>
  </si>
  <si>
    <t>#53596100</t>
  </si>
  <si>
    <t>https://drive.google.com/drive/u/1/folders/19LEURRlFYJs9jOPHiMMfSjW-xxTWKncZ</t>
  </si>
  <si>
    <t>AJUSTES NAS PORTAS E INTERLOCK, LIMPEZA DOS SENSORES, CPU E PLACA DE VÍDEO. EQUIPAMENTO EM FUNCIONAMENTO</t>
  </si>
  <si>
    <t>https://encurtador.com.br/gryj5</t>
  </si>
  <si>
    <t>https://encurtador.com.br/0bmYp</t>
  </si>
  <si>
    <t>54/2026</t>
  </si>
  <si>
    <t>2026.560101.30581</t>
  </si>
  <si>
    <t>#75509091</t>
  </si>
  <si>
    <t>011/2025</t>
  </si>
  <si>
    <t>FOI REALIZADA A LIMPEZA E TESTES FUNCIONAIS DO EQUIPAMENTO, SENDO IDENTIFICADA FALHA NA FONTE DE 24V E, APÓS SUA SUBSTITUIÇÃO, DEFEITO NA CPU ADVANTECH. DEVIDO À FALHA DA CPU, NÃO FOI POSSÍVEL TESTAR OS DEMAIS SUBSISTEMAS. NECESSÁRIA A AQUISIÇÃO DO COMPONENTE PARA CONTINUIDADE DOS TESTES.</t>
  </si>
  <si>
    <t>2025.560101.08845</t>
  </si>
  <si>
    <t>https://drive.google.com/drive/u/1/folders/1bHn-SqnGsmS3NDVN_GSesk4WPoTHln8X</t>
  </si>
  <si>
    <t>Realizado preventiva verificado os ajustes e o portal está funcionando perfeitamente. Display com uma pequena mancha.</t>
  </si>
  <si>
    <t>https://drive.google.com/drive/u/1/folders/1nsNaHEjAGgFkBIh_JVxeyh2vvpdK_gh4</t>
  </si>
  <si>
    <t>#54181494</t>
  </si>
  <si>
    <t>BODYSCAN NÃO INICIALIZAVA. SUBSTITUÍDO COOLER, FORMATADO E CONFIGURADO. TESTADO E FUNCIONANDO.</t>
  </si>
  <si>
    <t>https://encurtador.com.br/ahiCF</t>
  </si>
  <si>
    <t>55/2026</t>
  </si>
  <si>
    <t>https://encurtador.com.br/CzDIm</t>
  </si>
  <si>
    <t>2026.560101.30856</t>
  </si>
  <si>
    <t>TFNAP-IX- 180215</t>
  </si>
  <si>
    <t>#75508539</t>
  </si>
  <si>
    <t>FOI REALIZADO O AJUSTE DA POSIÇÃO DO GERADOR UTILIZANDO O LINE SCOPE, ALÉM DA LIMPEZA E APLICAÇÃO DO 5S NO EQUIPAMENTO</t>
  </si>
  <si>
    <t>018/2025</t>
  </si>
  <si>
    <t>https://drive.google.com/drive/u/1/folders/1tvftl2zYBiGbradKznMCqWBdPI3NQQ42</t>
  </si>
  <si>
    <t>2025.560101.16775</t>
  </si>
  <si>
    <t>https://drive.google.com/drive/u/1/folders/1VTR9ksgl3b9aTFNDjGxsMpv2PdwHwZ4n</t>
  </si>
  <si>
    <t>#56462997</t>
  </si>
  <si>
    <t>LIMPEZA DE COMPONENTES, VERIFICAÇÃO DE TENSÕES E TESTES. EQUIPAMENTO FUNCIONANDO</t>
  </si>
  <si>
    <t>Realizado preventiva verificado os ajustes e o portal está funcionando perfeitamente. Baterias descarregadas</t>
  </si>
  <si>
    <t>https://l1nk.dev/3rCzL</t>
  </si>
  <si>
    <t>56/2026</t>
  </si>
  <si>
    <t>2026.560101.29823</t>
  </si>
  <si>
    <t>https://acesse.one/cpFMa</t>
  </si>
  <si>
    <t>TFNAP-IX- 180232</t>
  </si>
  <si>
    <t>#75510185</t>
  </si>
  <si>
    <t>#76515357</t>
  </si>
  <si>
    <t>FOI REALIZADA A LIMPEZA E VERIFICAÇÃO DAS TENSÕES DE ENTRADA, ESTANDO TODAS EM NORMALIDADE. FOI CONSTATADA AUSÊNCIA DE VÍDEO DEVIDO A DEFEITO NO ADAPTADOR DISPLAYPORT. SEM IMAGEM, NÃO FOI POSSÍVEL DAR CONTINUIDADE À INSTALAÇÃO NEM REALIZAR OS DEMAIS TESTES FUNCIONAIS.</t>
  </si>
  <si>
    <t>FOI SUBSTITUÍDO O DIVISOR DE VÍDEO DEFEITUOSO POR UM CABO DISPLAYPORT/VGA, RESTABELECENDO O VÍDEO. DURANTE OS TESTES, FORAM IDENTIFICADAS FALHAS NO TECLADO E NO GERADOR SPELLMAN, SENDO RECOMENDADA A SUBSTITUIÇÃO DE AMBOS.</t>
  </si>
  <si>
    <t>https://drive.google.com/drive/u/1/folders/14TnmgpjG7NAUgZNICburWQE25B5k7v4o</t>
  </si>
  <si>
    <t>https://drive.google.com/drive/u/1/folders/1wMw88ty9jBjnbXGsgX0rAXblKsKsW7cv</t>
  </si>
  <si>
    <t>#56462995</t>
  </si>
  <si>
    <t>MANUTENÇÃO PREVENTIVA REALIZADA NO BODYSCAN. LIMPEZA DA CPU, MEMÓRIA RAM, PLACA DE VÍDEO, SENSORES, VENTOINHAS E SENSORES DA ESTEIRA. VERIFICAÇÃO ELÉTRICA E TESTES CONCLUÍDOS. EQUIPAMENTO FUNCIONANDO.</t>
  </si>
  <si>
    <t>57/2026</t>
  </si>
  <si>
    <t>2026.560101.30659</t>
  </si>
  <si>
    <t>#75578522</t>
  </si>
  <si>
    <t>REALIZADA A LIMPEZA DO EQUIPAMENTO E DE SEUS PERIFÉRICOS EXTERNOS. EM SEGUIDA, FOI RECONECTADO O CABO SOLTO DO BOTÃO DE EMERGÊNCIA QUE IMPEDIA A INICIALIZAÇÃO DA MÁQUINA. TAMBÉM FOI EFETUADA A RECONFIGURAÇÃO DO SOFTWARE DE VÍDEO QUE APRESENTAVA CONFIGURAÇÃO INCORRETA. APÓS OS TESTES, A SAÍDA DE TENSÃO DO NOBREAK APRESENTOU FUNCIONAMENTO NORMAL E O EQUIPAMENTO FOI ENTREGUE EM ESTADO OPERANTE.</t>
  </si>
  <si>
    <t>#56462996</t>
  </si>
  <si>
    <t>58/2025</t>
  </si>
  <si>
    <t>MANUTENÇÃO PREVENTIVA REALIZADA NO BODYSCAN. LIMPEZA GERAL E VERIFICAÇÃO ELÉTRICA CONCLUÍDAS. EQUIPAMENTO FUNCIONANDO.</t>
  </si>
  <si>
    <t>2026.560101.37964</t>
  </si>
  <si>
    <t>#75508012</t>
  </si>
  <si>
    <t>FOI REALIZADA MANUTENÇÃO CORRETIVA NO EQUIPAMENTO NUCTECH CX6040BI, SENDO IDENTIFICADO CURTO-CIRCUITO NA CPU TECON, IMPEDINDO O REPARO EM CAMPO. FOI SOLICITADA PROPOSTA PARA SUBSTITUIÇÃO DA CPU. NÃO FOI POSSÍVEL REALIZAR O LEVANTAMENTO RADIOMÉTRICO DEVIDO À INOPERÂNCIA DO EQUIPAMENTO.</t>
  </si>
  <si>
    <t>https://drive.google.com/drive/u/1/folders/1anQvLkPkb4SxCd1q9W4PKA_wrBIPxOcZ</t>
  </si>
  <si>
    <t>https://drive.google.com/drive/u/1/folders/1abIRzGo_RNHY5QD8PcO_7KXWV7kmN_xI</t>
  </si>
  <si>
    <t>#55524872</t>
  </si>
  <si>
    <t>#57173830</t>
  </si>
  <si>
    <t>DETECTADO CURTO NA TECLA ON/OFF DA PLACA MCB. MANUTENÇÃO PREVENTIVA EXECUTADA NO EQUIPAMENTO DE RAIO-X COM LIMPEZA INTERNA, EQUIPAMENTO EM FUNCIONAMENTO. PENDÊNCIA PLACA MCB E LEITOR BIOMÉTRICO</t>
  </si>
  <si>
    <t>Foi realizado a manutenção tratativa do equipamento bodyscan. Feito a substituição da placa MCB e leitor biométrico.</t>
  </si>
  <si>
    <t>59/2026</t>
  </si>
  <si>
    <t>2026.560101.37940</t>
  </si>
  <si>
    <t>#75510118</t>
  </si>
  <si>
    <t>APÓS ANÁLISE INICIAL, FOI CONSTATADA A AUSÊNCIA DE DIVERSOS COMPONENTES INTERNOS, INCLUINDO MONITORES, SUPORTE, MOTOR DA ESTEIRA, INVERSOR DE FREQUÊNCIA, TECLADO, MCB, XDAQ E CPU. O GERADOR APRESENTA INDÍCIOS DE VAZAMENTO. EQUIPAMENTO INOPERANTE (Obs.: Segundo informações, a unidade não quer mais o equipamento. Perguntar para Raul onde ele vai colocar esse equipamento, antes de qualquer troca de peças).</t>
  </si>
  <si>
    <t>#55524760</t>
  </si>
  <si>
    <t>Equipamento sem chaves liga/desliga e chave do teto. Baterias não seguram carga. Painel, placa e antenas em curto, equipamento condenado, manutenção sairia valor de um equipamento novo.</t>
  </si>
  <si>
    <t>#57182899</t>
  </si>
  <si>
    <t>https://app3.auvo.com.br/informacoes/tarefa/b8148e60-a57e-4fbb-91a5-435a28816d75?chave=n4G-6fAjPepVe43Dcaka3w</t>
  </si>
  <si>
    <t>LIMPEZA DE COMPONENTES INTERNOS, VERIFICAÇÃO DE TENSÕES E LIMPEZA DOS CONECTORES. EQUIPAMENTO FUNCIONANDO. PENDÊNCIA LEITOR BIOMÉTRICO</t>
  </si>
  <si>
    <t>Foi realizado a tratativa do equipamento bodyscan. Feito a substituição do leitor biométrico. equipamento funciomamdo.</t>
  </si>
  <si>
    <t>60/2026</t>
  </si>
  <si>
    <t>#55524416</t>
  </si>
  <si>
    <t>MANUTENÇÃO PREVENTIVA NO BODYSCAN: LIMPEZA, VERIFICAÇÃO DE TENSÃO, SUBSTITUIÇÃO DA BATERIA DA BIOS E TESTES REALIZADOS. EQUIPAMENTO EM FUNCIONAMENTO</t>
  </si>
  <si>
    <t>2026.560101.36571</t>
  </si>
  <si>
    <t>TFNPB - XIX - 160336</t>
  </si>
  <si>
    <t>PU 4</t>
  </si>
  <si>
    <t>Equipamento sem chaves liga/desliga e chave do teto. Baterias não seguram carga. Painel com estrutura danificada. Teste realizado e equipamento funcionando perfeitamente</t>
  </si>
  <si>
    <t>#75508325</t>
  </si>
  <si>
    <t>FOI REALIZADA INSPEÇÃO NO EQUIPAMENTO NUCTECH, SENDO CONSTATADO DEFEITO NA PLACA MCB. DEVIDO À FALHA, NÃO FOI POSSÍVEL REALIZAR OS DEMAIS TESTES E O LR. EQUIPAMENTO INOPERANTE.</t>
  </si>
  <si>
    <t>#55526989</t>
  </si>
  <si>
    <t>https://drive.google.com/drive/u/1/folders/1ndy6B0xRiuMNDr5M3nrBqp9mTrpD2ja9</t>
  </si>
  <si>
    <t>MANUTENÇÃO PREVENTIVA REALIZADA NO EQUIPAMENTO DE RAIO-X. LIMPEZA INTERNA, VERIFICAÇÃO ELÉTRICA E TESTES EXECUTADOS. EQUIPAMENTO EM FUNCIONAMENTO.</t>
  </si>
  <si>
    <t>https://drive.google.com/drive/u/1/folders/16ntIWzLg9UMAjzaI3T_fVo6nPrea4y-w</t>
  </si>
  <si>
    <t>#55525420</t>
  </si>
  <si>
    <t>61/2026</t>
  </si>
  <si>
    <t>LIMPEZA DE COMPONENTES, VERIFICAÇÃO DE TENSÃO, CONFIGURAÇÃO DOS MONITORES. TESTES REALIZADOS, EQUIPAMENTO FUNCIONANDO</t>
  </si>
  <si>
    <t>2026.560101.36755</t>
  </si>
  <si>
    <t>TFNAP-IX -150475</t>
  </si>
  <si>
    <t>Equipamento foi testado e está funcionando bem, porém está baterias do nobreak descarregadas.</t>
  </si>
  <si>
    <t>#75509357</t>
  </si>
  <si>
    <t>FOI REALIZADA A VERIFICAÇÃO DO EQUIPAMENTO, SENDO CONSTATADO DEFEITO NA CPU ADVANTECH E AUSÊNCIA DE NO-BREAK. NÃO FOI POSSÍVEL REALIZAR OS DEMAIS TESTES NEM O LEVANTAMENTO RADIOMÉTRICO. EQUIPAMENTO INOPERANTE.</t>
  </si>
  <si>
    <t>#55525032</t>
  </si>
  <si>
    <t>https://drive.google.com/drive/u/1/folders/1Nzx0dDCo50eyNpc5DYRaTxAXsou8xhAO</t>
  </si>
  <si>
    <t>LIMPEZA DE COMPONENTES INTERNOS E VERIFICAÇÃO ELÉTRICA. TESTES EXECUTADOS COM SUCESSO, EQUIPAMENTO FUNCIONANDO</t>
  </si>
  <si>
    <t xml:space="preserve">Realizado preventiva verificado os ajustes e o portal está funcionando, porem barra de led na zona 1 apresenta defeito. </t>
  </si>
  <si>
    <t>https://app3.auvo.com.br/informacoes/tarefa/597619e9-bc29-4f58-b205-48d6b57270c7?chave=Mtpypbat4pEz8f61uwHqvg</t>
  </si>
  <si>
    <t>#55526575</t>
  </si>
  <si>
    <t>LIMPEZA DE COMPONENTES E AJUSTES NOS CONECTORES. VERIFICAÇÃO ELÉTRICA E TESTES CONCLUÍDOS. EQUIPAMENTO FUNCIONANDO</t>
  </si>
  <si>
    <t>62/2026</t>
  </si>
  <si>
    <t>2026.560101.36503</t>
  </si>
  <si>
    <t>Realizado preventiva verificado os ajustes e o portal está funcionando perfeitamente. Baterias descarregadas e sem chaves</t>
  </si>
  <si>
    <t>TFNAP - IX - 170245</t>
  </si>
  <si>
    <t>UPFEM/TIMON</t>
  </si>
  <si>
    <t>#75509952</t>
  </si>
  <si>
    <t>#55524502</t>
  </si>
  <si>
    <t>FOI CONSTATADO DEFEITO NO GERADOR DE RAIO-X. FOI TESTADO UM GERADOR SUBSTITUTO, PORÉM TAMBÉM APRESENTOU DEFEITO. REALIZADA LIMPEZA E ORGANIZAÇÃO DA ÁREA. O GERADOR DANIFICADO SERÁ DEVOLVIDO À UNIDADE PRISIONAL MASCULINA DE TIMON.</t>
  </si>
  <si>
    <t>LIMPEZA DE COMPONENTES INTERNOS E VERIFICAÇÃO ELÉTRICA CONCLUÍDAS. EQUIPAMENTO TESTADO E FUNCIONANDO</t>
  </si>
  <si>
    <t>https://app3.auvo.com.br/informacoes/tarefa/71681104-783b-4905-afa0-ed1543970afa?chave=K0r7R4JZoSNulXZ-ijChFg</t>
  </si>
  <si>
    <t xml:space="preserve">Realizado avaliação e o portal está com o cabo de energia danificada, baterias danificadas e defeito na barra de led na zona 8, conseguimos deixar o equipamento em funcionamento com algumas adaptações. </t>
  </si>
  <si>
    <t>CHAVE DA FECHADURA E CHAVE DE PAINEL</t>
  </si>
  <si>
    <t>TROCA DE CHAVE DA FECHADURA E CHAVE DE PAINEL</t>
  </si>
  <si>
    <t>063/2026</t>
  </si>
  <si>
    <t>2026.560101.38022</t>
  </si>
  <si>
    <t>#55526255</t>
  </si>
  <si>
    <t>LIMPEZA DE COMPONENTES, VERIFICAÇÃO DE TENSÃO E TESTES REALIZADOS, EQUIPAMENTO FUNCIONANDO</t>
  </si>
  <si>
    <t>#76591505</t>
  </si>
  <si>
    <t>FOI REALIZADA A LIMPEZA DO EQUIPAMENTO, PERIFÉRICOS, MOTO-POLIA E NO-BREAK, ALÉM DOS TESTES DE AUTODIAGNÓSTICO, MCB, TECLADO, GERADOR, ESTEIRA E SAÍDA DE TENSÃO. EQUIPAMENTO EM PERFEITO FUNCIONAMENTO, CONFORME EVIDÊNCIAS ANEXADAS.</t>
  </si>
  <si>
    <t>Equipamento foi testado e está funcionando bem, porém está sem chaves e baterias do nobreak descarregadas. TROCAR BATERIAS E TROCAR CHAVES.</t>
  </si>
  <si>
    <t>Equipamento sem chaves liga/desliga e chave do teto. Baterias não seguram carga. Painel e placa em curto. Necessário avaliar eletrônica para possível recuperação.</t>
  </si>
  <si>
    <t>https://app3.auvo.com.br/informacoes/tarefa/7b973a8f-5802-4b74-9775-659a67413666?chave=4did-xyl95rDubX23mruBg</t>
  </si>
  <si>
    <t>#55527261</t>
  </si>
  <si>
    <t>#56507837</t>
  </si>
  <si>
    <t>FUSÍVEL DOS MONITORES EM CURTO SUBSTITUÍDO, BATERIA DA BIOS E CPU TROCADAS. MANUTENÇÃO PREVENTIVA FEITA: LIMPEZA DA CPU, MEMÓRIA, PLACA DE VÍDEO, SENSORES, TESTES REALIZADOS, EQUIPAMENTO FUNCIONANDO. DPS</t>
  </si>
  <si>
    <t>SUBSTITUIÇÃO DOS DPS REALIZADA. AJUSTES DOS PARÂMETROS DE DIAGNÓSTICOS EFETUADOS. TESTES EXECUTADOS, EQUIPAMENTO EM FUNCIONAMENTO</t>
  </si>
  <si>
    <t>https://drive.google.com/drive/u/1/folders/1FpX9Z9iz4faPvc4JTiW9X2bv0-JgdpAq</t>
  </si>
  <si>
    <t>Equipamento foi testado e está funcionando bem, porém está com senhas alteradas, baterias do nobreak e bateria 3V descarregadas. REMOÇÃO E ANÁLISE DA ELETRÔNICA EM LABORATÓRIO PARA REGRAVAR PROGAMA E SENHAS DE FÁBRICA.TROCAR BATERIAS E TROCAR CHAVES</t>
  </si>
  <si>
    <t>#55525144</t>
  </si>
  <si>
    <t>#57488619</t>
  </si>
  <si>
    <t>LIMPEZA DE COMPONENTES INTERNOS E VERIFICAÇÕES ELÉTRICAS. EQUIPAMENTO TESTADO E EM FUNCIONAMENTO. PENDÊNCIA CÂMERA DO INDIVÍDUO</t>
  </si>
  <si>
    <t>SUBSTITUIÇÃO DA CÂMERA DO INDIVÍDUO E CONFIGURAÇÃO. TESTES CONCLUÍDOS, EQUIPAMENTO EM FUNCIONAMENTO</t>
  </si>
  <si>
    <t>Realizado a manutenção preventiva e efetuado os testes no detector de metal, equipamento sem chaves do painel e do teto, funcionamento perfeito..</t>
  </si>
  <si>
    <t>https://encurtador.com.br/x347c</t>
  </si>
  <si>
    <t>#74740768</t>
  </si>
  <si>
    <t>CHAVE DE GABINETE E CHAVE DE PAINEL</t>
  </si>
  <si>
    <t>TROCA CHAVE DE GABINETE E CHAVE DE PAINEL</t>
  </si>
  <si>
    <t>FOI REALIZADA A LIMPEZA DO EQUIPAMENTO, PERIFÉRICOS, MOTO-POLIA E NO-BREAK, ALÉM DOS TESTES DE AUTODIAGNÓSTICO, MCB, TECLADO, GERADOR, ESTEIRA E SAÍDA DE TENSÃO DO NO-BREAK. EQUIPAMENTO EM PERFEITO FUNCIONAMENTO, CONFORME EVIDÊNCIAS ANEXADAS.</t>
  </si>
  <si>
    <t>021/2025</t>
  </si>
  <si>
    <t>2025.560101.18084</t>
  </si>
  <si>
    <t>https://app3.auvo.com.br/informacoes/tarefa/e7cd8106-456b-4630-94a4-b984a9aac031?chave=CPmtGWGCBozIfi2Om0V5CA</t>
  </si>
  <si>
    <t>#56182613</t>
  </si>
  <si>
    <t>COOLER DO BODYSCAN TRAVADO. SUBSTITUÍDO, TESTADO E EQUIPAMENTO FUNCIONANDO</t>
  </si>
  <si>
    <t>https://encurtador.com.br/ohy0O</t>
  </si>
  <si>
    <t>https://encurtador.com.br/BjJtQ</t>
  </si>
  <si>
    <t>CHAVE DE GABINETE E CHAVE ON OFF COM DEFEITO</t>
  </si>
  <si>
    <t>TROCA DE CHAVE DE GABINETE E CHAVE ON OFF</t>
  </si>
  <si>
    <t>024/2025</t>
  </si>
  <si>
    <t>2025.560101.13596</t>
  </si>
  <si>
    <t>#56944711</t>
  </si>
  <si>
    <t>VERIFICAÇÃO DO BODYSCAN, AJUSTES FEITOS E TESTES CONCLUÍDOS. EQUIPAMENTO FUNCIONANDO. PENDÊNCIA DPS (PREVISÃO 23/07/2025)</t>
  </si>
  <si>
    <t>#74740762</t>
  </si>
  <si>
    <t>https://encurtador.com.br/7l7S3</t>
  </si>
  <si>
    <t>FOI REALIZADA A MANUTENÇÃO PREVENTIVA DO EQUIPAMENTO. FOI CONSTATADA A AUSÊNCIA DE PERIFÉRICOS INTERNOS E MONITORES, ALÉM DE VAZAMENTO NO GERADOR. JÁ EXISTE PROPOSTA COMERCIAL PARA A CORREÇÃO DAS NÃO CONFORMIDADES.</t>
  </si>
  <si>
    <t>https://l1nk.dev/lTc42</t>
  </si>
  <si>
    <t>https://app3.auvo.com.br/informacoes/tarefa/48d2875f-5739-4889-abcf-307d2a76ef6b?chave=j8WjN2v-AEUFkllaMhiDpA</t>
  </si>
  <si>
    <t>022/2025</t>
  </si>
  <si>
    <t>2025.560101.18998</t>
  </si>
  <si>
    <t>#56509640</t>
  </si>
  <si>
    <t>FORMATAÇÃO PARA VERSÃO SPECTRUM 2. DIAGNOSTICADO MAU CONTATO NOS CABOS DE REDE E DA CONTROLADORA, ALÉM DE DPS QUEIMADO. SUBSTITUÍDOS CABOS E DPS, REALIZADOS TESTES E EQUIPAMENTO FUNCIONANDO</t>
  </si>
  <si>
    <t>https://acesse.one/2XVXK</t>
  </si>
  <si>
    <t xml:space="preserve">Realizado avaliação do portal, porém não foi encontrado a eletrônica do portal, falya placas fontes e cabos, antenas RX e TX com conectores danificados </t>
  </si>
  <si>
    <t>025/2025</t>
  </si>
  <si>
    <t>#74740837</t>
  </si>
  <si>
    <t>2025.560101.23732</t>
  </si>
  <si>
    <t>FOI REALIZADA A LIMPEZA DO EQUIPAMENTO, PERIFÉRICOS E MOTO-POLIA, ALÉM DOS TESTES DE AUTODIAGNÓSTICO, MCB, TECLADO, GERADOR E ESTEIRA. FOI EFETUADO O REALINHAMENTO DO GERADOR PARA AJUSTE DO LINE SCOPE. CONSTATOU-SE QUE O GERADOR VJ INSTALADO NÃO ESTÁ FIXADO ADEQUADAMENTE POR AUSÊNCIA DE FURAÇÃO COMPATÍVEL E QUE O EQUIPAMENTO UTILIZA CPU DELL. EQUIPAMENTO OPERACIONAL.</t>
  </si>
  <si>
    <t>#57622794</t>
  </si>
  <si>
    <t>MANUTENÇÃO CORRETIVA NO BODYSCAN, SUBSTITUIÇÃO DO CABO USB DA XDAQ E LIMPEZA DAS PORTAS. EQUIPAMENTO EM FUNCIONAMENTO</t>
  </si>
  <si>
    <t>https://app3.auvo.com.br/informacoes/tarefa/23fe7f9b-22ed-4473-8734-ea1bbbff4291?chave=yVh1j7Sb9PJEuNcZdhbb8Q</t>
  </si>
  <si>
    <t>https://l1nk.dev/tymeF</t>
  </si>
  <si>
    <t>Baterias descarregadas e não possui chaves, local em reforma</t>
  </si>
  <si>
    <t>Equipamento funcionando, não foi trocado peças</t>
  </si>
  <si>
    <t>027/2025</t>
  </si>
  <si>
    <t>2025.560101.24479</t>
  </si>
  <si>
    <t>#57622622</t>
  </si>
  <si>
    <t>VERIFICAÇÃO DO EQUIPAMENTO REALIZADA. DETECTADO CURTO NA PLACA MCB. SUBSTITUIÇÃO DA PLACA MCB E INSTALAÇÃO DO KIT MOSFET. TROCA DA BATERIA DA BALANÇA. TESTES REALIZADOS, EQUIPAMENTO FUNCIONANDO</t>
  </si>
  <si>
    <t>https://encurtador.com.br/h8x0A</t>
  </si>
  <si>
    <t>https://l1nk.dev/3mKUi</t>
  </si>
  <si>
    <t>#74740780</t>
  </si>
  <si>
    <t>FOI REALIZADA A LIMPEZA DO EQUIPAMENTO, PERIFÉRICOS, MOTO-POLIA E NO-BREAK, ALÉM DOS TESTES DE AUTODIAGNÓSTICO, MCB, TECLADO, GERADOR, ESTEIRA E SAÍDA DE TENSÃO. EQUIPAMENTO EM PERFEITO FUNCIONAMENTO, COM REGISTROS E EVIDÊNCIAS ANEXADOS AO RELATÓRIO.</t>
  </si>
  <si>
    <t>LED COM DEFEITO, CHAVE ON OFF, CHAVE DE GABINETE</t>
  </si>
  <si>
    <t>TROCA DE LED COM DEFEITO, CHAVE ON OFF, CHAVE DE GABINETE</t>
  </si>
  <si>
    <t>Realizado a manutenção preventiva e efetuado ajustes de sensibilidade, realizado testes no detector de metal, equipamento sem chaves do painel e do teto, funcionamento perfeito. Baterias descarregadas.</t>
  </si>
  <si>
    <t>030/2025</t>
  </si>
  <si>
    <t>2025.560101.26416</t>
  </si>
  <si>
    <t>#58162730</t>
  </si>
  <si>
    <t>TROCA DA PASTA TÉRMICA, LIMPEZA E CORREÇÃO DO COOLER. EQUIPAMENTO FUNCIONANDO</t>
  </si>
  <si>
    <t>https://encurtador.com.br/JsGPA</t>
  </si>
  <si>
    <t>https://acesse.one/0CPlw</t>
  </si>
  <si>
    <t>033/2025</t>
  </si>
  <si>
    <t>2025.560101.26619</t>
  </si>
  <si>
    <t>#58163588</t>
  </si>
  <si>
    <t>VERIFICAÇÃO E AJUSTES NOS SENSORES DA ESTEIRA. TESTES REALIZADOS, EQUIPAMENTO FUNCIONANDO</t>
  </si>
  <si>
    <t>https://encurtador.com.br/YQpBC</t>
  </si>
  <si>
    <t>AGUARDANDO MANUTENÇÃO</t>
  </si>
  <si>
    <t>https://encurtador.com.br/8Xexm</t>
  </si>
  <si>
    <t>Realizado a manutenção preventiva e efetuado ajustes de sensibilidade, realizado testes no detector de metal, equipamento sem chaves do painel e do teto, funcionamento perfeito.</t>
  </si>
  <si>
    <t>041/2025</t>
  </si>
  <si>
    <t>2025.560101.32168</t>
  </si>
  <si>
    <t>UPR/OLHO D ́AGUA</t>
  </si>
  <si>
    <t>#59098605</t>
  </si>
  <si>
    <t>VERIFICADO SISTEMA DE INTERLOCK COM CONTATOS GASTOS, NECESSITANDO REPOSIÇÃO VIA FLUIG.</t>
  </si>
  <si>
    <t>https://encurtador.com.br/zQgFk</t>
  </si>
  <si>
    <t>#74740816</t>
  </si>
  <si>
    <t>https://l1nk.dev/jPfcA</t>
  </si>
  <si>
    <t>FOI REALIZADA A LIMPEZA DO EQUIPAMENTO, PERIFÉRICOS, MOTO-POLIA E NO-BREAK, ALÉM DOS TESTES DE AUTODIAGNÓSTICO, MCB, TECLADO, GERADOR, ESTEIRA E SAÍDA DE TENSÃO. EQUIPAMENTO EM PERFEITO FUNCIONAMENTO. FORAM IDENTIFICADOS INDÍCIOS DE VAZAMENTO NO GERADOR, SENDO RECOMENDADA SUA SUBSTITUIÇÃO PREVENTIVA.</t>
  </si>
  <si>
    <t>FECHADURA DE ACESSO A PLACA, BATERIA 3V, PCPPSTX</t>
  </si>
  <si>
    <t>TROCA DE FECHADURA DE ACESSO A PLACA, BATERIA 3V, PCPPSTX</t>
  </si>
  <si>
    <t>Realizado a manutenção preventiva e análise das configurações, realizado testes no detector de metal, equipamento sem chaves do painel e do teto, funcionamento perfeito.</t>
  </si>
  <si>
    <t>042/2025</t>
  </si>
  <si>
    <t>#59219634</t>
  </si>
  <si>
    <t>EQUIPAMENTO OPERANDO CORRETAMENTE, COM LIMITAÇÕES POR SER MODELO ANTIGO, O QUE PODE DIFERENCIAR A IMAGEM DE MODELOS ATUAIS. SEM INTERFERÊNCIAS</t>
  </si>
  <si>
    <t>https://encurtador.com.br/KiFlX</t>
  </si>
  <si>
    <t>BATERIA 3V, FECHADURA DE ACESSO A PLACA</t>
  </si>
  <si>
    <t>https://encurtador.com.br/TiVhH</t>
  </si>
  <si>
    <t>TROCA DAS FECHADURAS E BATERIA 3V</t>
  </si>
  <si>
    <t>045/2025</t>
  </si>
  <si>
    <t>FOI REALIZADA A LIMPEZA DO EQUIPAMENTO, PERIFÉRICOS E MOTO-POLIA, ALÉM DOS TESTES DE AUTODIAGNÓSTICO, MCB, TECLADO, GERADOR E ESTEIRA. TAMBÉM FOI REALIZADO O REALINHAMENTO DO GERADOR, QUE ESTAVA DESLOCADO APÓS A MOVIMENTAÇÃO DA MÁQUINA PARA INSTALAÇÃO DE LAJOTAS NO PISO.</t>
  </si>
  <si>
    <t>2025.560101.35082</t>
  </si>
  <si>
    <t>Equipamento com baterias descarregadas, acusando erro e disparando, identificado que a antena TX está em curto e a placa principal está com componentes danificados.</t>
  </si>
  <si>
    <t>#60047577</t>
  </si>
  <si>
    <t>CABOS DESCONECTADOS, CHAVE ON E OFF, E DE ACESSO A PLACA COM DEFEITOS</t>
  </si>
  <si>
    <t>COOLER DO PROCESSADOR TRAVADO FOI SUBSTITUÍDO E O EQUIPAMENTO ESTÁ FUNCIONANDO</t>
  </si>
  <si>
    <t>https://encurtador.com.br/qhDRz</t>
  </si>
  <si>
    <t>https://encurtador.com.br/nwWLC</t>
  </si>
  <si>
    <t>046/2025</t>
  </si>
  <si>
    <t>2025.560101.36048</t>
  </si>
  <si>
    <t>#60047775</t>
  </si>
  <si>
    <t>#61323898</t>
  </si>
  <si>
    <t>Baterias descarregadas. Realizado preventiva com ajustes de sensibilidade, realizado teste de deteção, portal em perfeito funcionamento.</t>
  </si>
  <si>
    <t>DETECTADO MAL CONTATO NO CABO DO TECLADO OPERACIONAL, REAJUSTE REALIZADO. SUBSTITUIÇÃO DO COOLER DA CPU. TESTES REALIZADOS, EQUIPAMENTO FUNCIONANDO</t>
  </si>
  <si>
    <t>MANUTENÇÃO DO BODYSCAN CONCLUÍDA: SUBSTITUIÇÃO DO CABO DO TECLADO E AJUSTE NO BOTÃO DE EMERGÊNCIA. TESTES OK</t>
  </si>
  <si>
    <t>https://encurtador.com.br/lTTFF</t>
  </si>
  <si>
    <t>https://encurtador.com.br/WGa6J</t>
  </si>
  <si>
    <t>BATERIA 3V, PCPPSTX</t>
  </si>
  <si>
    <t>TROCA DE BATERIA 3V, PCPPSTX</t>
  </si>
  <si>
    <t>043/2025</t>
  </si>
  <si>
    <t>2025.560101.34149</t>
  </si>
  <si>
    <t>#59235549</t>
  </si>
  <si>
    <t>LIMPEZA DE COMPONENTES, VERIFICAÇÃO DE TENSÃO, LIMPEZA DE CONECTORES. HD 86% CHEIO, NECESSITA LIMPEZA. TESTES CONCLUÍDOS, EQUIPAMENTO FUNCIONANDO</t>
  </si>
  <si>
    <t>https://l1nk.dev/4xtNU</t>
  </si>
  <si>
    <t>TROCA DE BATERIA 3V E FECHADURA DA PLACA</t>
  </si>
  <si>
    <t>https://l1nk.dev/9AAoo</t>
  </si>
  <si>
    <t>#74740810</t>
  </si>
  <si>
    <t>FOI REALIZADA A LIMPEZA DO EQUIPAMENTO, PERIFÉRICOS E MOTO-POLIA, ALÉM DOS TESTES DE AUTODIAGNÓSTICO, MCB, TECLADO, GERADOR E ESTEIRA. EQUIPAMENTO EM PERFEITO FUNCIONAMENTO, CONFORME EVIDÊNCIAS ANEXADAS.</t>
  </si>
  <si>
    <t>#59235548</t>
  </si>
  <si>
    <t>DEFEITO NA FECHADURA DE ACESSO A PLACA, FECHADURA ON OFF, BATERIA 3V</t>
  </si>
  <si>
    <t>Equipamento com alterações de senha, não tem acesso as funções avançadas e as baterias estão descarregadas, chaves não foram encontradas.</t>
  </si>
  <si>
    <t>LIMPEZA DE COMPONENTES, VERIFICAÇÃO DE TENSÃO, LIMPEZA DE CONECTORES. HD 89% CHEIO, NECESSITA LIMPEZA, FICANDO A CRITÉRIO DO CLIENTE. TESTES CONCLUÍDOS, EQUIPAMENTO FUNCIONANDO</t>
  </si>
  <si>
    <t>Não trocamos peças, mas foi realizado um recondicionamento do cabo de energia que estava danificado.</t>
  </si>
  <si>
    <t>#59235546</t>
  </si>
  <si>
    <t>#74740792</t>
  </si>
  <si>
    <t>LIMPEZA DE COMPONENTES, VERIFICAÇÃO DE TENSÃO E LIMPEZA DE CONECTORES. TESTES REALIZADOS, EQUIPAMENTO FUNCIONANDO</t>
  </si>
  <si>
    <t>Baterias descarregadas, painel danificado e placa em curto, Barra de led com defeito nas áreas 6,7 e 8.</t>
  </si>
  <si>
    <t>https://app3.auvo.com.br/informacoes/tarefa/d2862d49-bb49-4f6b-a2bb-f33407dfb79f?chave=lKS4Gku18oVa2N5-PphLHA</t>
  </si>
  <si>
    <t>#59235554</t>
  </si>
  <si>
    <t>#61272663</t>
  </si>
  <si>
    <t>LIMPEZA DA CPU, MEMÓRIA RAM, PLACA DE VÍDEO, SENSORES E VENTOINHAS. VERIFICAÇÃO DE TENSÃO E LIMPEZA DE CONECTORES. TESTES REALIZADOS E EQUIPAMENTO FUNCIONANDO</t>
  </si>
  <si>
    <t>SUBSTITUIÇÃO DA MOLA ÁREA. TESTES REALIZADOS E EQUIPAMENTO FUNCIONANDO</t>
  </si>
  <si>
    <t>Baterias descarregadas, bateria de 3v descarregada e sem chaves. Realizado preventiva com ajustes de sensibilidade, realizado teste de deteção, portal em perfeito funcionamento.</t>
  </si>
  <si>
    <t>#59235550</t>
  </si>
  <si>
    <t>LIMPEZA DA CPU, MEMÓRIA, PLACA DE VÍDEO, SENSORES E VENTOINHAS. VERIFICAÇÃO DE TENSÃO ELÉTRICA E LIMPEZA DE CONECTORES. TESTES CONCLUÍDOS, EQUIPAMENTO FUNCIONANDO</t>
  </si>
  <si>
    <t>#74740798</t>
  </si>
  <si>
    <t>FOI REALIZADA A LIMPEZA DO EQUIPAMENTO, PERIFÉRICOS, MOTO-POLIA E NO-BREAK, ALÉM DOS TESTES DE AUTODIAGNÓSTICO, MCB, TECLADO, GERADOR, ESTEIRA E SAÍDA DE TENSÃO. EQUIPAMENTO EM PERFEITO FUNCIONAMENTO. RECOMENDA-SE A SUBSTITUIÇÃO DE UMA DAS CORTINAS DO TÚNEL DA MÁQUINA.</t>
  </si>
  <si>
    <t>https://app3.auvo.com.br/informacoes/tarefa/69ee320b-2bbe-4177-8ab0-fca6a4c9cc36?chave=aFIK-Dz9LuHjuXqok7Awxg</t>
  </si>
  <si>
    <t>#59235551</t>
  </si>
  <si>
    <t>Realizado preventiva conforme instrução de trabalho</t>
  </si>
  <si>
    <t>Realizado ajustes de frequência e o detector foi testado e está em perfeito funcionamento. Baterias descarregadas</t>
  </si>
  <si>
    <t>#59235553</t>
  </si>
  <si>
    <t>LIMPEZA DE COMPONENTES, VERIFICAÇÃO DE TENSÃO, AJUSTES NA MOLA ÁREA E TESTES REALIZADOS. EQUIPAMENTO FUNCIONANDO</t>
  </si>
  <si>
    <t>#74740789</t>
  </si>
  <si>
    <t>Equipamento testado e está em perfeito funcionamento.</t>
  </si>
  <si>
    <t>https://app3.auvo.com.br/informacoes/tarefa/a862aa4b-202b-4891-a103-c32317effd43?chave=r1NoRbqB1ttASQ3xh6hi8w</t>
  </si>
  <si>
    <t>#59235547</t>
  </si>
  <si>
    <t>#61964184</t>
  </si>
  <si>
    <t>MANUTENÇÃO PREVENTIVA EM BODYSCAN, COM LIMPEZA DE CPU, MEMÓRIA RAM, PLACA DE VÍDEO, SENSORES, VENTOINHAS, CONECTORES E COMPONENTES, VERIFICAÇÃO DE TENSÃO CONTÍNUA E ALTERNADA. MONITORES DE 24 POL E 19 POL DANIFICADOS NA PARTE INFERIOR. TESTES REALIZADOS, EQUIPAMENTO EM FUNCIONAMENTO.</t>
  </si>
  <si>
    <t>SUBSTITUIÇÃO DOS MONITORES DEVIDO A DEFEITO NA SUPERFÍCIE INFERIOR DA TELA. TESTES EFETUADOS, EQUIPAMENTO EM PLENO FUNCIONAMENTO</t>
  </si>
  <si>
    <t>#59235552</t>
  </si>
  <si>
    <t>Foi realizado preventiva conforme instrução de trabalho, foi ajustado o tamanho das letras , e removido imagens antigas com autorização da direção. Testes ok</t>
  </si>
  <si>
    <t>DEFEITO NA FECHADURA DE ACESSO A PLACA, FECHADURA ON OFF, BATERIA 3V, CABO DE FORÇA</t>
  </si>
  <si>
    <t>TROCA DAS FECHADURAS E BATERIA 3V, CABO DE FORÇA</t>
  </si>
  <si>
    <t>#59235555</t>
  </si>
  <si>
    <t>CORRIGIDO BOTÃO DE EMERGÊNCIA, LIMPEZA GERAL REALIZADA, DPS SUBSTITUÍDO E TESTES CONCLUÍDOS COM SUCESSO</t>
  </si>
  <si>
    <t>Equipamento está desmontado e unidade em reforma impossibilitado a realização e testes devido o equipamentos está em local com andaimes e matérias da obra, não tem local para poder realizar testes adequadamente</t>
  </si>
  <si>
    <t>Reforma autorizada pela Luiza das execuções Penais. Recomendamos que comunique a empresa para uma nova avaliação assim que for possível avaliar o equipamento.</t>
  </si>
  <si>
    <t>#60346127</t>
  </si>
  <si>
    <t>LIMPEZA DE CPU, MEMÓRIA RAM, PLACA DE VÍDEO, SENSORES E VENTOINHAS, VERIFICAÇÃO ELÉTRICA E LIMPEZA DE CONECTORES. TESTES CONCLUÍDOS, EQUIPAMENTO EM FUNCIONAMENTO</t>
  </si>
  <si>
    <t>#61507247</t>
  </si>
  <si>
    <t>LIMPEZA GERAL, VERIFICAÇÃO ELÉTRICA E TROCA DA PLACA DE VÍDEO. EQUIPAMENTO FUNCIONANDO NORMALMENTE.</t>
  </si>
  <si>
    <t>Encontramos o equipamento desmontado e faltando as antenas(laterais). Realizado testes da eletrônica em outro portal para poder avaliar as condições de uso. Eletrônica está funcionando mas antena TX e RX não foi localizada.</t>
  </si>
  <si>
    <t>DEFEITO NA FECHADURA DE ACESSO A PLACA, FECHADURA ON OFF</t>
  </si>
  <si>
    <t>TROCA DE FECHADURA DE ACESSO A PLACA, FECHADURA ON OFF</t>
  </si>
  <si>
    <t>#61507246</t>
  </si>
  <si>
    <t>MANUTENÇÃO PREVENTIVA REALIZADA NO BODYSCAN. LIMPEZA E VERIFICAÇÕES ELÉTRICAS EXECUTADAS. EQUIPAMENTO COM PENDÊNCIA DE CABO FLAT, OPERANDO APENAS EM MODO DUAL VIEW. PEÇA SOLICITADA PARA TROCA.</t>
  </si>
  <si>
    <t>#61507248</t>
  </si>
  <si>
    <t>MANUTENÇÃO PREVENTIVA REALIZADA CONFORME CHECKLIST. EQUIPAMENTO FUNCIONANDO NORMALMENTE.</t>
  </si>
  <si>
    <t>#74740795</t>
  </si>
  <si>
    <t>051/2025</t>
  </si>
  <si>
    <t>FOI REALIZADA A LIMPEZA DO EQUIPAMENTO, PERIFÉRICOS, MOTO-POLIA E NO-BREAK, ALÉM DOS TESTES DE AUTODIAGNÓSTICO, MCB, TECLADO, GERADOR, ESTEIRA E SAÍDA DE TENSÃO. EQUIPAMENTO EM PERFEITO FUNCIONAMENTO. RECOMENDA-SE A SUBSTITUIÇÃO DAS CORTINAS DE ENTRADA E SAÍDA DO EQUIPAMENTO.</t>
  </si>
  <si>
    <t>Equipamento sem chaves e com senha das funções avançadas alterada. Realizado testes e o equipamento está realizando detecções perfeitamente, porem é necessário regravar o programa e trocar as chaves e baterias.</t>
  </si>
  <si>
    <t>2025.560101.38250</t>
  </si>
  <si>
    <t>https://app3.auvo.com.br/informacoes/tarefa/e31a463f-25bc-45ca-bc6e-d42d06e5f34a?chave=EJ9-YSJZwnlAN0TzysL-rg</t>
  </si>
  <si>
    <t>#60101524</t>
  </si>
  <si>
    <t>Foi realizado o suporte remoto com o Sr. Janis Martins, limpeza do HD e ajustes no sistema, equipamento operacional.</t>
  </si>
  <si>
    <t>https://encurtador.com.br/6I7Kg</t>
  </si>
  <si>
    <t>#74740822</t>
  </si>
  <si>
    <t>https://drive.google.com/drive/u/1/folders/1NDxxJ-88Tv9C586xBzSv6_JaOJAV4M42</t>
  </si>
  <si>
    <t>069/2025</t>
  </si>
  <si>
    <t>2025.560101.51369</t>
  </si>
  <si>
    <t>#62280527</t>
  </si>
  <si>
    <t>#62325351</t>
  </si>
  <si>
    <t>BODYSCAN COM FALHA DE REINÍCIO CONTÍNUO. ATUALIZADO SOFTWARE, FEITO BACKUP E LIMPEZA DE HD. CURTO NA PLACA MCB. EQUIPAMENTO FUNCIONANDO COM PENDÊNCIA</t>
  </si>
  <si>
    <t>SUBSTITUIÇÃO DA PLACA MCB E MOUSE, ATUALIZAÇÃO DO SOFTWARE PARA VERSÃO 2.37.24, AJUSTES DE CONFIGURAÇÃO, LIMPEZA E TESTES REALIZADOS — EQUIPAMENTO EM PLENO FUNCIONAMENTO</t>
  </si>
  <si>
    <t>https://acesse.one/MAkXU</t>
  </si>
  <si>
    <t>#74740759</t>
  </si>
  <si>
    <t>https://l1nk.dev/ClRN4</t>
  </si>
  <si>
    <t>Equipamento acusando OFF-LINE, baterias d nobreak e bateria de 3v descarregadas. Realizado limpeza e  testes e o equipamento está realizando detecções perfeitamente, porem é necessário regravar o programa e trocar as baterias.</t>
  </si>
  <si>
    <t>https://app3.auvo.com.br/informacoes/tarefa/6db41b91-7b8f-4fde-866c-ca81cf49b0c2?chave=HFSwiXWsArbZL-iNFTrPTg</t>
  </si>
  <si>
    <t>073/2025</t>
  </si>
  <si>
    <t>2025.560101.56971</t>
  </si>
  <si>
    <t>#63075741</t>
  </si>
  <si>
    <t>VERIFICAÇÃO REALIZADA NO EQUIPAMENTO BODYSCAN COM FALHA NA CALIBRAÇÃO. DETECTADO CURTO NA CONTROLADORA. REALIZADA A SUBSTITUIÇÃO DA CONTROLADORA. TESTES EFETUADOS, EQUIPAMENTO EM PLENO FUNCIONAMENTO.</t>
  </si>
  <si>
    <t>https://acesse.one/1EOyd</t>
  </si>
  <si>
    <t>https://acesse.one/brtbt</t>
  </si>
  <si>
    <t>070/2025</t>
  </si>
  <si>
    <t>2025.560101.51639</t>
  </si>
  <si>
    <t>#74740852</t>
  </si>
  <si>
    <t>#62308384</t>
  </si>
  <si>
    <t>FOI REALIZADA A LIMPEZA DO EQUIPAMENTO, PERIFÉRICOS E MOTO-POLIA, ALÉM DOS TESTES DE AUTODIAGNÓSTICO, MCB, TECLADO, GERADOR E ESTEIRA. EQUIPAMENTO EM PERFEITO FUNCIONAMENTO. RECOMENDA-SE A SUBSTITUIÇÃO DA ESTEIRA E DO NO-BREAK, CONFORME PROPOSTA DA OS Nº 050/2026. TAMBÉM FORAM IDENTIFICADOS RESÍDUOS DE ALIMENTOS NO INTERIOR DO EQUIPAMENTO, O QUE PODE COMPROMETER OS COMPONENTES ELETRÔNICOS.</t>
  </si>
  <si>
    <t>Equipamento foi testado e está funcionando bem, porém está com senhas alteradas e baterias do nobreak descarregadas.</t>
  </si>
  <si>
    <t>#62480975</t>
  </si>
  <si>
    <t>https://app3.auvo.com.br/informacoes/tarefa/ddb3ee24-fcb9-4671-bdd5-eb4aa9a52f48?chave=AMbad1cjhGj2VeWAKUG-Ww</t>
  </si>
  <si>
    <t>ABO FLAT ROMPIDO, RUÍDOS DE RATO NOS CABEAMENTOS, CORREÇÃO NA MOLA DA PORTA. SOLICITAR CABO FLAT. FUNCIONANDO SOMENTE EM DUAL VIEW, IMAGEM DO TÓRAX.</t>
  </si>
  <si>
    <t>SUBSTITUÍDOS CABO FLAT, PLACA XCGU E TECLADO USB. AJUSTADAS CONFIGURAÇÕES DE IMAGEM. EQUIPAMENTO TESTADO E OPERANDO NORMALMENTE.</t>
  </si>
  <si>
    <t>https://l1nk.dev/jeLuu</t>
  </si>
  <si>
    <t>https://acesse.one/i2HcA</t>
  </si>
  <si>
    <t>077/2025</t>
  </si>
  <si>
    <t>2025.560101.62042</t>
  </si>
  <si>
    <t>#74740840</t>
  </si>
  <si>
    <t>FOI REALIZADA A LIMPEZA DO EQUIPAMENTO, PERIFÉRICOS, MOTO-POLIA E NO-BREAK, ALÉM DOS TESTES DE AUTODIAGNÓSTICO, MCB, TECLADO, GERADOR, ESTEIRA E SAÍDA DE TENSÃO. FOI SUBSTITUÍDO O CABO DE ALIMENTAÇÃO DE UM DOS MONITORES, RESTABELECENDO SEU FUNCIONAMENTO. EQUIPAMENTO EM PERFEITO FUNCIONAMENTO. RECOMENDA-SE A SUBSTITUIÇÃO DE UMA DAS CORTINAS DO TÚNEL DA MÁQUINA.</t>
  </si>
  <si>
    <t>#63987322</t>
  </si>
  <si>
    <t>#64823496</t>
  </si>
  <si>
    <t>http://app3.auvo.com.br/informacoes/tarefa/b44936f4-1701-4529-b13a-90fef340f3f6?chave=Yd9tWaK0jcWOYd51zdOdrA</t>
  </si>
  <si>
    <t xml:space="preserve">UM DOS MONITORES (QUE EXIBE A IMAGEM DO TÓRAX) ESTÁ COM A TELA DANIFICADA. O EQUIPAMENTO ENCONTRA-SE FUNCIONANDO APENAS COM O MONITOR PRINCIPAL
</t>
  </si>
  <si>
    <t>SUBSTITUÍDO O MONITOR DEFEITUOSO, REALIZADOS AJUSTES E VERIFICAÇÕES. EQUIPAMENTO EM PLENO FUNCIONAMENTO</t>
  </si>
  <si>
    <t>https://encurtador.com.br/GEiQ</t>
  </si>
  <si>
    <t>https://encurtador.com.br/AiVg</t>
  </si>
  <si>
    <t>097/2025</t>
  </si>
  <si>
    <t>Equipamento com mensagem de OFF-LINE, baterias descarregadas e sem chaves. Não foi possível testar o equipamento.</t>
  </si>
  <si>
    <t>2025.560101.69197</t>
  </si>
  <si>
    <t>#63950552</t>
  </si>
  <si>
    <t>LIMPEZA INTERNA, VERIFICAÇÃO ELÉTRICA E AJUSTES DE CONFIGURAÇÃO. EQUIPAMENTO EM PLENO FUNCIONAMENTO</t>
  </si>
  <si>
    <t>https://encurtador.com.br/ZjnK</t>
  </si>
  <si>
    <t>https://encurtador.com.br/mTso</t>
  </si>
  <si>
    <t>#63950551</t>
  </si>
  <si>
    <t>LIMPEZA GERAL E TESTES EFETUADOS, EQUIPAMENTO EM FUNCIONAMENTO.</t>
  </si>
  <si>
    <t>Equipamento foi testado e está funcionando bem, porém está com senhas alteradas e sem chaves.</t>
  </si>
  <si>
    <t>#63950549</t>
  </si>
  <si>
    <t>LIMPEZA GERAL, VERIFICAÇÃO ELÉTRICA, TROCA DA BATERIA DA BALANÇA E TESTES CONCLUÍDOS. EQUIPAMENTO OPERANDO NORMALMENTE.</t>
  </si>
  <si>
    <t>https://encurtador.com.br/IMVu</t>
  </si>
  <si>
    <t>#63950557</t>
  </si>
  <si>
    <t>#66372848</t>
  </si>
  <si>
    <t>LIMPEZA GERAL, VERIFICAÇÃO ELÉTRICA, AJUSTE NA MOLA AÉREA DA PORTA E TESTES CONCLUÍDOS. EQUIPAMENTO EM PLENO FUNCIONAMENTO.</t>
  </si>
  <si>
    <t>SUBSTITUIÇÃO DA MOLA AÉREA DA PORTA, AJUSTES NAS DOBRADIÇAS E NO DEGRAU. TESTES EXECUTADOS E EQUIPAMENTO EM PLENO FUNCIONAMENTO</t>
  </si>
  <si>
    <t>https://encurtador.com.br/bpKp</t>
  </si>
  <si>
    <t>Equipamento foi testado e está funcionando bem, porém está com as baterias do nobreak descarregadas.</t>
  </si>
  <si>
    <t>#63950553</t>
  </si>
  <si>
    <t>MANUTENÇÃO PREVENTIVA REALIZADA COM LIMPEZA GERAL, VERIFICAÇÃO DE TENSÕES, TESTES EXECUTADOS E EQUIPAMENTO EM FUNCIONAMENTO.</t>
  </si>
  <si>
    <t>https://encurtador.com.br/hcWs</t>
  </si>
  <si>
    <t>#63950554</t>
  </si>
  <si>
    <t>MANUTENÇÃO PREVENTIVA REALIZADA NO EQUIPAMENTO BODYSCAN, COM AJUSTES E LUBRIFICAÇÃO DAS PORTAS, AJUSTES DE CONFIGURAÇÕES E VERIFICAÇÃO DO FUNCIONAMENTO ADEQUADO DO EQUIPAMENTO.</t>
  </si>
  <si>
    <t>https://encurtador.com.br/giiz</t>
  </si>
  <si>
    <t>#63950556</t>
  </si>
  <si>
    <t>Equipamento foi testado e está funcionando bem, porém está com as baterias do nobreak e a bateria de 3V descarregadas.</t>
  </si>
  <si>
    <t>LIMPEZA DE COMPONENTES, VERIFICAÇÃO DE TENSÃO, E TESTES CONCLUÍDOS. EQUIPAMENTO EM FUNCIONAMENTO</t>
  </si>
  <si>
    <t>https://encurtador.com.br/FyMl</t>
  </si>
  <si>
    <t>#74740765</t>
  </si>
  <si>
    <t>FOI REALIZADA A LIMPEZA E OS TESTES FUNCIONAIS DO EQUIPAMENTO NUCTECH CX10080T. FOI IDENTIFICADA UMA MANCHA NO MONITOR PRETO E BRANCO, SEM COMPROMETER A OPERAÇÃO, PORÉM RECOMENDA-SE SUA SUBSTITUIÇÃO PREVENTIVA.</t>
  </si>
  <si>
    <t>https://app3.auvo.com.br/informacoes/tarefa/2927c5de-852c-4a00-9662-73ebeff21e44?chave=7qvUibjfi-JfOf5hOpC3Jg</t>
  </si>
  <si>
    <t>#63950550</t>
  </si>
  <si>
    <t>LIMPEZA DE COMPONENTES, VERIFICAÇÃO DE TENSÃO, SUBSTITUIÇÃO DO DPS E TESTES CONCLUÍDOS. EQUIPAMENTO EM FUNCIONAMENTO</t>
  </si>
  <si>
    <t>https://encurtador.com.br/QzLi</t>
  </si>
  <si>
    <t>#74740774</t>
  </si>
  <si>
    <t>FOI REALIZADA A LIMPEZA DO EQUIPAMENTO, PERIFÉRICOS, SENSORES INTERNOS E ESTEIRA, ALÉM DOS TESTES DE AUTODIAGNÓSTICO, MCB, TECLADO, GERADOR E ESTEIRA. EQUIPAMENTO EM PERFEITO FUNCIONAMENTO. RECOMENDA-SE A SUBSTITUIÇÃO DO CABO DE ALIMENTAÇÃO POR UM MODELO MAIOR E A ADEQUAÇÃO DA INFRAESTRUTURA ELÉTRICA PARA RECEBIMENTO DO AC.</t>
  </si>
  <si>
    <t>#63950555</t>
  </si>
  <si>
    <t>MANUTENÇÃO PREVENTIVA REALIZADA COM AJUSTES, LUBRIFICAÇÃO E LIMPEZA EXTERNA. NÃO FOI POSSÍVEL ABRIR O EQUIPAMENTO POR MOTIVO DE VISITA NA UNIDADE. HD INTERNO AJUSTADO PARA 50% COM AUTORIZAÇÃO DA DIREÇÃO. EQUIPAMENTO OPERACIONAL.</t>
  </si>
  <si>
    <t>https://encurtador.com.br/ttCW</t>
  </si>
  <si>
    <t>Equipamento foi testado e está funcionando bem, porém está com as baterias do nobreak descarregadas não tem chaves e o painel não da acesso.</t>
  </si>
  <si>
    <t>#63950558</t>
  </si>
  <si>
    <t>MANUTENÇÃO PREVENTIVA REALIZADA, COM LIMPEZA GERAL, VERIFICAÇÃO DE TENSÕES E TESTES, EQUIPAMENTO EM FUNCIONAMENTO.</t>
  </si>
  <si>
    <t>https://encurtador.com.br/Ndye</t>
  </si>
  <si>
    <t>#65308516</t>
  </si>
  <si>
    <t>#69827212</t>
  </si>
  <si>
    <t>MANUTENÇÃO PREVENTIVA NO EQUIPAMENTO SPECTRUM BODYSCAN. FORAM REALIZADOS AJUSTES DE CONFIGURAÇÃO, LUBRIFICAÇÃO DE DOBRADIÇAS E VERIFICAÇÃO DO ESTADO DE CONSERVAÇÃO. FOI DETECTADO QUE O MONITOR ESTÁ QUEIMANDO E A SUBSTITUIÇÃO FOI SOLICITADA COMO PENDÊNCIA. O EQUIPAMENTO FOI DEIXADO EM FUNCIONAMENTO.</t>
  </si>
  <si>
    <t>REALIZADA SUBSTITUIÇÃO DO MONITOR COM SUCESSO. EQUIPAMENTO OPERACIONAL.</t>
  </si>
  <si>
    <t>https://encurtador.com.br/qzSX</t>
  </si>
  <si>
    <t>Equipamento encontrado com a antenas e placa principal em curto, sem chaves e painel com defetio e baterias descarregadas</t>
  </si>
  <si>
    <t>#66543306</t>
  </si>
  <si>
    <t>MANUTENÇÃO PREVENTIVA DO EQUIPAMENTO DO BODYSCAN. FEITO A LIMPEZA DA CPU, MEMÓRIA RAM, PLACA DE VÍDEO, SENSORES E VENTOINHAS. FEITO A VERIFICAÇÃO DE MEDIÇÃO DE TENSÃO CONTINUA E ALTERNADA, DO QUADRO ELÉTRICO, FEITO AS LIMPEZAS NOS CONECTORES E COMPONENTES. FOI REALIZADO OS TESTES, EQUIPAMENTO EM FUNCIONAMENTO.</t>
  </si>
  <si>
    <t>https://app.auvo.com.br/informacoes/tarefa/5757e595-3aea-49ea-834c-1572f5727c2d?chave=cEQBuXY-7JoAUe16rOYEWw</t>
  </si>
  <si>
    <t>#66543305</t>
  </si>
  <si>
    <t>MANUTENÇÃO PREVENTIVA DO EQUIPAMENTO DE BODYSCAN. FEITO A LIMPEZA DA CPU, MEMÓRIA RAM, PLACA DE VÍDEO, SENSORES E VENTOINHAS. FEITO A VERIFICAÇÃO DE MEDIÇÃO DE TENSÃO CONTINUA E ALTERNADA, DO QUADRO ELÉTRICO, FEITO AS LIMPEZAS NOS CONECTORES E COMPONENTES. AJUSTE NA PORTA. FOI REALIZADO OS TESTES, EQUIPAMENTO EM FUNCIONAMENTO.</t>
  </si>
  <si>
    <t>https://app.auvo.com.br/informacoes/tarefa/f7a5b37d-8941-42e4-bfcd-1a8991f7ab6e?chave=SwwwoZQURJ5n0edu7xUOfA</t>
  </si>
  <si>
    <t>Equipamento apresnetadno mensagem de OFF LINE, encontrado com a antena RX e  placa principal em curto, baterias descarregadas e sem chaves</t>
  </si>
  <si>
    <t>#66543307</t>
  </si>
  <si>
    <t>FEITO A LIMPEZA DA CPU, MEMÓRIA RAM, PLACA DE VÍDEO, SENSORES, VENTOINHAS E TROCA DA PASTA TÉRMICA. FEITO A VERIFICAÇÃO DE MEDIÇÃO DE TENSÃO CONTÍNUA E ALTERNADA, DO QUADRO ELÉTRICO, FEITO AS LIMPEZAS NOS CONECTORES E COMPONENTES. FOI REALIZADO OS TESTES, EQUIPAMENTO EM FUNCIONAMENTO.</t>
  </si>
  <si>
    <t>125/2025</t>
  </si>
  <si>
    <t>064/2026</t>
  </si>
  <si>
    <t>2025.560101.80120</t>
  </si>
  <si>
    <t>2026.560101.40093</t>
  </si>
  <si>
    <t>TFNPB - XIX - 160335</t>
  </si>
  <si>
    <t>#76012634</t>
  </si>
  <si>
    <t>#67140654</t>
  </si>
  <si>
    <t>FOI REALIZADA A LIMPEZA DO EQUIPAMENTO E A SUBSTITUIÇÃO DO CABO DE ENERGIA. FOI IDENTIFICADA A NECESSIDADE DE INSTALAÇÃO DE CANALETA OU TOMADA AÉREA PARA PROTEGER O CABO E EVITAR CONTATOS INDEVIDOS.</t>
  </si>
  <si>
    <t>MANUTENÇÃO CORRETIVA NO BODYSCAN DA PU 1 PEDRINAS DEVIDO A HD CHEIO. FOI FEITO BACKUP E EXCLUSÃO DE IMAGENS. EQUIPAMENTO DEIXADO EM FUNCIONAMENTO.</t>
  </si>
  <si>
    <t>https://drive.google.com/drive/u/1/folders/1vlX-deaZKolr4-MNLTAatoOFiU8G5eH3</t>
  </si>
  <si>
    <t>https://drive.google.com/drive/u/1/folders/1aFxQ9BUblhsdyzofhKB5nKv0WyNyUT62</t>
  </si>
  <si>
    <t>127/2025</t>
  </si>
  <si>
    <t>2025.560101.82371</t>
  </si>
  <si>
    <t>066/2026</t>
  </si>
  <si>
    <t>Equipamento liga mas não detecta, placa principal com defeito e baterias descarregadas. Detector sem chaves.</t>
  </si>
  <si>
    <t>2026.560101.40946</t>
  </si>
  <si>
    <t>#67589223</t>
  </si>
  <si>
    <t>SUBSTITUIÇÃO DE NOBREAK EM CURTO E INSTALAÇÃO DE PROTETOR CONTRA SURTO NO EQUIPAMENTO BODYSCAN. FOI FEITO AJUSTE DA MOLA AÉREA E TESTES. EQUIPAMENTO DEIXADO EM FUNCIONAMENTO.</t>
  </si>
  <si>
    <t>#76210972</t>
  </si>
  <si>
    <t>FOI REALIZADA A LIMPEZA DO EQUIPAMENTO E IDENTIFICADAS DIVERSAS IRREGULARIDADES NAS CONEXÕES INTERNAS, COM CABOS INVERTIDOS E EM CONTATO COM A CARCAÇA. FOI CONSTATADO DEFEITO NA PLACA MCB, COM QUEIMA DO CI E EMISSÃO DE FUMAÇA AO ENERGIZAR O EQUIPAMENTO. EQUIPAMENTO INOPERANTE.</t>
  </si>
  <si>
    <t>https://drive.google.com/drive/u/1/folders/1gWkORPLFwMTyy5nPpuEdXr2JXwHCwtSR</t>
  </si>
  <si>
    <t>129/2025</t>
  </si>
  <si>
    <t>https://drive.google.com/drive/u/1/folders/19zyn84WeXwls5Bq1qeQ-3z5SfdGsD6RD</t>
  </si>
  <si>
    <t>2025.560101.82971</t>
  </si>
  <si>
    <t>#67717028</t>
  </si>
  <si>
    <t>070/2026</t>
  </si>
  <si>
    <t>2026.560101.21553</t>
  </si>
  <si>
    <t>MANUTENÇÃO CORRETIVA NO EQUIPAMENTO DE RAIO-X. FOI REALIZADA A SUBSTITUIÇÃO DE UM CABO HDMI ROMPIDO E AJUSTES DE CONFIGURAÇÃO. O EQUIPAMENTO FOI DEIXADO EM FUNCIONAMENTO.</t>
  </si>
  <si>
    <t>#76669101</t>
  </si>
  <si>
    <t>CONSTATADO QUE O EQUIPAMENTO NÃO INICIALIZAVA DEVIDO AO BOTÃO DE EMERGÊNCIA ACIONADO. APÓS VERIFICAÇÃO GERAL, IDENTIFICOU-SE ACÚMULO DE SUJEIRA NA CPU QUE COMPROMETIA SEU DESEMPENHO. FOI REALIZADA A LIMPEZA COMPLETA DO COMPONENTE E A SUBSTITUIÇÃO DA PASTA TÉRMICA.</t>
  </si>
  <si>
    <t>https://drive.google.com/drive/u/1/folders/1wB3YcRDwYV0rH-T8mAELnvcB67ZYuaXA</t>
  </si>
  <si>
    <t>FEITO LIMPEZA E TESTE, EQUIPAMENTO SE ENCONTRA DETECTANDO METAIS NORMALMENTE, ENTRETANTO SERÁ NECESSARIO A TROCA DAS BATERIAS DO NOBREAK</t>
  </si>
  <si>
    <t>002/2026</t>
  </si>
  <si>
    <t>https://drive.google.com/drive/u/1/folders/158ggacgcx2-oQal2eON69t-MukZbLuQD</t>
  </si>
  <si>
    <t>2026.560101.00481</t>
  </si>
  <si>
    <t>#68010690</t>
  </si>
  <si>
    <t>Equipamento encontrado com placa principal em curto, fonte queimada painel com defeito e baterias descarregadas. Detector sem chaves.</t>
  </si>
  <si>
    <t>FOI DETECTADO QUE O CABO DA EXTENSÃO USB QUE CONECTA A PLACA XCARD ESTAVA COM MAU CONTATO, SENDO NECESSÁRIA A SUBSTITUIÇÃO DESTE CABO. FOI FEITA A ATUALIZAÇÃO DO SOFTWARE E REALIZADOS OS TESTES. O EQUIPAMENTO FICOU EM FUNCIONAMENTO. A OCORRÊNCIA FOI CLASSIFICADA COMO "CABO(S) ROMPIDO(S)", E NÃO HÁ PENDÊNCIAS.</t>
  </si>
  <si>
    <t>071/2026</t>
  </si>
  <si>
    <t>2026.560101.40096</t>
  </si>
  <si>
    <t>TFNAP-IX-180215</t>
  </si>
  <si>
    <t>UPR/ROSARIO</t>
  </si>
  <si>
    <t>#76925644</t>
  </si>
  <si>
    <t>FOI REALIZADO O REALINHAMENTO DO GERADOR COM AUXÍLIO DO LINE SCOPE, AJUSTE DAS CONEXÕES E ORGANIZAÇÃO DOS CABOS DA CPU DELL OPTIPLEX. APÓS OS AJUSTES, A IMAGEM FOI NORMALIZADA E VALIDADA PELO AGENTE DA UNIDADE. EQUIPAMENTO OPERACIONAL.</t>
  </si>
  <si>
    <t>009/2026</t>
  </si>
  <si>
    <t>2026.560101.04089</t>
  </si>
  <si>
    <t>https://drive.google.com/drive/u/1/folders/1ES5pXcVrOWEMZHmuTk9aazBryE-Cc6gm</t>
  </si>
  <si>
    <t>https://drive.google.com/drive/u/1/folders/11IKMwg7WNuq_ZBbVIdHrB0ycEVd-n3cG</t>
  </si>
  <si>
    <t>#68937036</t>
  </si>
  <si>
    <t>MANUTENÇÃO CORRETIVA NO BODySCAN. AJUSTES DE SOFTWARE E COMPONENTES. TESTES REALIZADOS, EQUIPAMENTO EM FUNCIONAMENTO.</t>
  </si>
  <si>
    <t>FEITO INSPEÇÃO NA UNIDADE E CONSTATADO QUE NÃO HÁ EQUIPAMENTO NO LOCAL</t>
  </si>
  <si>
    <t>074/2026</t>
  </si>
  <si>
    <t>2026.560101.45849</t>
  </si>
  <si>
    <t>TFNAP-X-150532</t>
  </si>
  <si>
    <t>#77278587</t>
  </si>
  <si>
    <t>FORAM REALIZADOS TESTES PARA IDENTIFICAÇÃO DA FALHA, SENDO CONSTATADO CURTO-CIRCUITO NA PLACA DE INTERFACE. RECOMENDA-SE A SUBSTITUIÇÃO DO NO-BREAK, POIS O MESMO NÃO CONSEGUE SUSTENTAR A CARGA.</t>
  </si>
  <si>
    <t>018/2026</t>
  </si>
  <si>
    <t>https://drive.google.com/drive/u/1/folders/1TXxDlWrq2FgY5w_3-piw6NtZLGlREAoG</t>
  </si>
  <si>
    <t>2026.560101.11064</t>
  </si>
  <si>
    <t>https://app3.auvo.com.br/informacoes/tarefa/f27f2ff3-86ab-41b2-8796-bd47a740a268?chave=yBC8kzhGTMjEvDMasEHDtQ</t>
  </si>
  <si>
    <t>#70269408</t>
  </si>
  <si>
    <t>Equipamento foi testado e está funcionando bem, porém está sem chaves, baterias do nobreak descarregadas.</t>
  </si>
  <si>
    <t>ENCONTRAVA COM O CABO HDMI DANIFICADO. FOI REALIZADA A SUBSTITUIÇÃO DO CABO HDMI. REALIZADOS AJUSTES DOS PARÂMETROS. EQUIPAMENTO EM FUNCIONAMENTO</t>
  </si>
  <si>
    <t>https://encurtador.com.br/yBMk</t>
  </si>
  <si>
    <t>034/2026</t>
  </si>
  <si>
    <t>2026.560101.16241</t>
  </si>
  <si>
    <t>#69249479</t>
  </si>
  <si>
    <t>MANUTENÇÃO PREVENTIVA NO RAIO-X REALIZADA, COM LIMPEZA GERAL, VERIFICAÇÃO ELÉTRICA E TESTES OK, EQUIPAMENTO EM FUNCIONAMENTO.</t>
  </si>
  <si>
    <t>https://encurtador.com.br/sAXg</t>
  </si>
  <si>
    <t>https://app.auvo.com.br/informacoes/tarefa/461bcbb9-e2ef-488e-a69f-8e08761b4e6c?chave=jE8utl70gBl-Mhu5Wj1Yjw</t>
  </si>
  <si>
    <t>FOI REALIZADA A REVISÃO DOS DOIS PORTAIS, O DA PERMANÊNCIA E O DO PAVILHÃO, E AMBOS ESTÃO EM FUNCIONAMENTO OK</t>
  </si>
  <si>
    <t>#71525566</t>
  </si>
  <si>
    <t>VERIFICAÇÃO DO BODYSCAN COM HD CHEIO, REALIZADO BACKUP E EXCLUSÃO DE IMAGENS. EQUIPAMENTO EM FUNCIONAMENTO. ALINHAMENTO COM TI DA SEAP PARA CONEXÃO EM REDE, PROJETO SERÁ FORMALIZADO PARA A VMI.</t>
  </si>
  <si>
    <t>https://app.auvo.com.br/informacoes/tarefa/372fcf91-3614-4d95-8e35-b046aa256f88?chave=N-F-nqd4XqxcWJiBrmND2g</t>
  </si>
  <si>
    <t>Equipamento foi testado e está funcionando bem, porém baterias do nobreak descarregadas e um dos botões do teclado não responde.</t>
  </si>
  <si>
    <t>#70458642</t>
  </si>
  <si>
    <t>MANUTENÇÃO PREVENTIVA REALIZADA NO RAIO-X, COM LIMPEZA GERAL, VERIFICAÇÃO ELÉTRICA E TESTES OK, EQUIPAMENTO EM FUNCIONAMENTO.</t>
  </si>
  <si>
    <t>https://app.auvo.com.br/informacoes/tarefa/7c0a725b-9d54-4c1f-b6f6-99a55b6f2535?chave=2RSTYEowcSjf-Y-4qhxKjQ</t>
  </si>
  <si>
    <t>#71967979</t>
  </si>
  <si>
    <t>REALIZADA MANUTENÇÃO PREVENTIVA NO BODYSCAN, COM LIMPEZA DE COMPONENTES, VERIFICAÇÃO ELÉTRICA, LIMPEZA DE CONECTORES E TESTES OPERACIONAIS. EQUIPAMENTO EM FUNCIONAMENTO.</t>
  </si>
  <si>
    <t>https://encurtador.com.br/HLMQ</t>
  </si>
  <si>
    <t>#69249481</t>
  </si>
  <si>
    <t>MANUTENÇÃO PREVENTIVA REALIZADA NO BODySCAN, COM LIMPEZA GERAL, TROCA DA BATERIA DA PLACA MÃE E DA PASTA TÉRMICA, VERIFICAÇÃO ELÉTRICA E TESTES, EQUIPAMENTO EM FUNCIONAMENTO.</t>
  </si>
  <si>
    <t>https://encurtador.com.br/baYN</t>
  </si>
  <si>
    <t>#69249482</t>
  </si>
  <si>
    <t>MANUTENÇÃO PREVENTIVA REALIZADA, COM LIMPEZA GERAL, VERIFICAÇÃO ELÉTRICA E TESTES, EQUIPAMENTO OPERANDO NORMALMENTE.</t>
  </si>
  <si>
    <t>https://encurtador.com.br/dVtL</t>
  </si>
  <si>
    <t>#70458643</t>
  </si>
  <si>
    <t>https://app.auvo.com.br/informacoes/tarefa/4738b60c-e20b-4f11-a92b-a1761639e99a?chave=4OMGB97k0mtftNXZ94nW8A</t>
  </si>
  <si>
    <t>#69249480</t>
  </si>
  <si>
    <t>BODySCAN PARADO, IDENTIFICADO CURTO NA PLACA INTERFACE, REALIZADA SUBSTITUIÇÃO DA PLACA E DO COOLER. MANUTENÇÃO PREVENTIVA NO RAIO-X COM LIMPEZA GERAL, VERIFICAÇÃO ELÉTRICA E TESTES OK, EQUIPAMENTOS EM FUNCIONAMENTO.</t>
  </si>
  <si>
    <t>https://app.auvo.com.br/informacoes/tarefa/289f66da-a6c6-4854-8c4b-063ebd9fa027?chave=DAB9ehn1ueBGiBUkgc7W6A</t>
  </si>
  <si>
    <t>Equipamento foi testado e está funcionando bem, porém está com senhas alteradas, baterias do nobreak descarregadas e sem chaves.</t>
  </si>
  <si>
    <t>#69249483</t>
  </si>
  <si>
    <t>MANUTENÇÃO PREVENTIVA EM RAIO-X, LIMPEZA GERAL, VERIFICAÇÃO DE TENSÕES, TROCA DE TECLADO E MOUSE, EQUIPAMENTO FUNCIONANDO.</t>
  </si>
  <si>
    <t>https://encurtador.com.br/dLIt</t>
  </si>
  <si>
    <t>#69249477</t>
  </si>
  <si>
    <t>Equipamento foi testado e estava com defetio no cabo e conector, realizado o reparo no cabo e o detector ficou funcionando bem, porém está baterias do nobreak descarregadas e não possui chaves .</t>
  </si>
  <si>
    <t>MANUTENÇÃO PREVENTIVA REALIZADA, COM LIMPEZA, VERIFICAÇÕES E TESTES. EQUIPAMENTO EM FUNCIONAMENTO.</t>
  </si>
  <si>
    <t>https://encurtador.com.br/xjHQ</t>
  </si>
  <si>
    <t>#71967978</t>
  </si>
  <si>
    <t>#63451484</t>
  </si>
  <si>
    <t>VERIFICADO BODYSCAN COM FALHA E TRAVAMENTO. REALIZADOS TESTES E FORMATAÇÃO, IDENTIFICADA CPU CORROMPIDA. SOLICITADA NOVA CPU.</t>
  </si>
  <si>
    <t>Equipamento encontrado com a antena TX e  placa principal em curto, baterias descarregadas</t>
  </si>
  <si>
    <t>INSTALAÇÃO E CONFIGURAÇÃO DA CPU REALIZADAS. SUBSTITUÍDOS O CABO DE REDE E A FONTE 24V DEVIDO A FALHAS E OSCILAÇÃO DE TENSÃO. TESTES EXECUTADOS, EQUIPAMENTO EM FUNCIONAMENTO.</t>
  </si>
  <si>
    <t>https://encurtador.com.br/Lhax</t>
  </si>
  <si>
    <t>035/2026</t>
  </si>
  <si>
    <t>#69249484</t>
  </si>
  <si>
    <t>MANUTENÇÃO PREVENTIVA REALIZADA, COM LIMPEZA, VERIFICAÇÕES, REPARO E TROCA DE COMPONENTES. EQUIPAMENTO EM FUNCIONAMENTO.</t>
  </si>
  <si>
    <t>20/03/0206</t>
  </si>
  <si>
    <t>https://encurtador.com.br/SxZP</t>
  </si>
  <si>
    <t>Equipamento encontrado com a antenas e placa principal em curto, fonte queiamda painel com defeito e baterias descarregadas</t>
  </si>
  <si>
    <t xml:space="preserve">PÓRTICO ESTAVA MUITO SENSÍVEL, FOI REPOGRAMADO CONFORME OS REQUISITOS. </t>
  </si>
  <si>
    <t>https://encurtador.com.br/YrNV</t>
  </si>
  <si>
    <t>https://encurtador.com.br/OxUW</t>
  </si>
  <si>
    <t>#69249485</t>
  </si>
  <si>
    <t>046/2026</t>
  </si>
  <si>
    <t>MANUTENÇÃO PREVENTIVA REALIZADA, LIMPEZA GERAL, VERIFICAÇÃO ELÉTRICA E TESTES OK, EQUIPAMENTO FUNCIONANDO.</t>
  </si>
  <si>
    <t>https://app.auvo.com.br/informacoes/tarefa/e62b0460-e725-4f67-91a0-aabd4a5d4459?chave=KXlOGY-PEaTH7UzsPZ5x1g</t>
  </si>
  <si>
    <t>047/2026</t>
  </si>
  <si>
    <t>#71967980</t>
  </si>
  <si>
    <t>REALIZADA MANUTENÇÃO PREVENTIVA NO BODYSCAN, COM LIMPEZA DOS COMPONENTES, VERIFICAÇÃO ELÉTRICA E TROCA DO DPS EM CURTO. EQUIPAMENTO TESTADO E EM FUNCIONAMENTO.</t>
  </si>
  <si>
    <t>https://encurtador.com.br/qMbA</t>
  </si>
  <si>
    <t>https://encurtador.com.br/Sfna</t>
  </si>
  <si>
    <t>Equipamento encontrado desmontado, com a antena RX danificada e  placa principal em curto. Realizado a montagem do portal mas não conseguimos fazer funcionar</t>
  </si>
  <si>
    <t>036/2026</t>
  </si>
  <si>
    <t>2026.560101.12026</t>
  </si>
  <si>
    <t>#71494551</t>
  </si>
  <si>
    <t>065/2026</t>
  </si>
  <si>
    <t>REALIZADA VERIFICAÇÃO NO EQUIPAMENTO BODYSCAN COM HD CHEIO, EFETUADO BACKUP E EXCLUSÃO DE IMAGENS. ACOMPANHAMENTO COM TÉCNICO TI DA SEAP SOBRE CONEXÃO DOS BODYSCAN EM REDE. EQUIPAMENTO EM FUNCIONAMENTO.</t>
  </si>
  <si>
    <t>2026.560101.40450</t>
  </si>
  <si>
    <t>https://encurtador.com.br/mXwH</t>
  </si>
  <si>
    <t>https://encurtador.com.br/mpeD</t>
  </si>
  <si>
    <t>Equipamento encontrado sem cabos flats das antenas e baterias descarregadas. Realizado a limpeza e troca dos cabos, ajustado e equipamento ficou funcionando perfeitamente</t>
  </si>
  <si>
    <t>REALIZADA VERIFICAÇÃO NO EQUIPAMENTO BODYSCAN COM HD CHEIO, EFETUADO BACKUP E EXCLUSÃO DE IMAGENS. ACOMPANHAMENTO COM TÉCNICO TI DA SEAP SOBRE CONEXÃO DOS BODYSCAN EM REDE, COM APRESENTAÇÃO E FORMALIZAÇÃO DO PROJETO PARA A VMI. EQUIPAMENTO EM FUNCIONAMENTO.</t>
  </si>
  <si>
    <t>https://encurtador.com.br/kHQE</t>
  </si>
  <si>
    <t>Equipamento foi testado e está funcionando bem, porém está com baterias do nobreak, baterias 3V descarregadase sem chaves.</t>
  </si>
  <si>
    <t>Troca da chave Liga desliga</t>
  </si>
  <si>
    <t>044/2026</t>
  </si>
  <si>
    <t>2026.560101.32117</t>
  </si>
  <si>
    <t>#74295390</t>
  </si>
  <si>
    <t>REALIZADA VISTORIA NO BODYSCAN COM HD CHEIO E TRAVAMENTO DA ESTEIRA. EFETUADOS BACKUP, LIMPEZA, AJUSTES E CONFIGURAÇÕES DO SOFTWARE. IDENTIFICADO DEFEITO NA CÂMERA. EQUIPAMENTO TESTADO E EM FUNCIONAMENTO.</t>
  </si>
  <si>
    <t>https://encurtador.com.br/OJXV</t>
  </si>
  <si>
    <t>https://encurtador.com.br/RBNG</t>
  </si>
  <si>
    <t>Equipamento foi testado e está funcionando bem, porém está com baterias do nobreak descarregadas.</t>
  </si>
  <si>
    <t>045/2026</t>
  </si>
  <si>
    <t xml:space="preserve">2026.560101.33155 </t>
  </si>
  <si>
    <t>#74463528</t>
  </si>
  <si>
    <t>REALIZADA VERIFICAÇÃO DO BODYSCAN, COM SUBSTITUIÇÃO DO PLUGUE DE ALIMENTAÇÃO E TROCA DA VENTOINHA TRAVADA. TESTES EFETUADOS, EQUIPAMENTO EM FUNCIONAMENTO. NOBREAK PENDENTE</t>
  </si>
  <si>
    <t>Equipamento foi testado e está funcionando bem, porém está sem chaves, baterias do nobreak e baterias 3V descarregadas.</t>
  </si>
  <si>
    <t>VERIFICAÇÃO DO BODYSCAN COM HD CHEIO; REALIZADO BACKUP E EXCLUSÃO DE IMAGENS. EQUIPAMENTO EM FUNCIONAMENTO. ACOMPANHAMENTO COM TÉCNICO DE TI DA SEAP PARA CONEXÃO EM REDE, PROJETO SERÁ APRESENTADO E FORMALIZADO PARA A VMI.</t>
  </si>
  <si>
    <t>https://encurtador.com.br/SGAr</t>
  </si>
  <si>
    <t>Equipamento foi testado e está funcionando bem, porém está sem chaves e baterias do nobreak  descarregadas.</t>
  </si>
  <si>
    <t>VERIFICAÇÃO DO BODYSCAN COM HD CHEIO, REALIZADO BACKUP E EXCLUSÃO DE IMAGENS. EQUIPAMENTO OPERACIONAL. ALINHAMENTO COM TI DA SEAP PARA CONEXÃO EM REDE, PROJETO SERÁ FORMALIZADO PARA A VMI.</t>
  </si>
  <si>
    <t>https://encurtador.com.br/rjEb</t>
  </si>
  <si>
    <t>Equipamento foi testado e está funcionando bem, porém está com senhas alteradas, baterias do nobreak e bateria 3V descarregadas.</t>
  </si>
  <si>
    <t>048/2026</t>
  </si>
  <si>
    <t>2026.560101.35062</t>
  </si>
  <si>
    <t>#74941592</t>
  </si>
  <si>
    <t>VERIFICAÇÃO DO BODYSCAN, COM TROCA DO COOLER DO PROCESSADOR, LIMPEZA DA MEMÓRIA RAM, PLACA DE VÍDEO E SENSORES DA ESTEIRA. TESTES REALIZADOS, EQUIPAMENTO EM FUNCIONAMENTO.</t>
  </si>
  <si>
    <t>https://app.auvo.com.br/informacoes/tarefa/737a8e4e-8072-46db-9e5a-9d0258c16678?chave=re4cli3-r3TfjPdvp7d0RQ</t>
  </si>
  <si>
    <t>049/2026</t>
  </si>
  <si>
    <t>2026.560101.35009</t>
  </si>
  <si>
    <t>#74943805</t>
  </si>
  <si>
    <t>VERIFICAÇÃO DO BODYSCAN, COM BACKUP DAS IMAGENS, LIBERAÇÃO DO HD, LIMPEZA DA CPU E SENSORES, E AJUSTES NO SOFTWARE. TESTES REALIZADOS, EQUIPAMENTO EM FUNCIONAMENTO.</t>
  </si>
  <si>
    <t>Equipamento foi testado e está funcionando bem, porém está, com as senhas alteradas. sem chaves e baterias do nobreak  descarregadas.</t>
  </si>
  <si>
    <t>https://app.auvo.com.br/informacoes/tarefa/ce844231-28bf-4b89-8dc1-152dfe21f422?chave=uh5trZOXRRJAo-I3r1KUtA</t>
  </si>
  <si>
    <t>067/2026</t>
  </si>
  <si>
    <t>2026.560101.41295</t>
  </si>
  <si>
    <t>4079001001</t>
  </si>
  <si>
    <t>#74809295</t>
  </si>
  <si>
    <t>Manutenção preventiva realizada conforme check-list.</t>
  </si>
  <si>
    <t>Equipamento foi testado e está funcionando bem, porém um conjunto de barra de led está em curto e as baterias do nobreak estão desacarregadas.</t>
  </si>
  <si>
    <t>FEITO LIMPEZA NOS CONECTORES, PÓRTICO DETECTANDO NORMALMENTE (RECOMENDA-SE TROCA DAS BATERIAS DO NOBREAK)</t>
  </si>
  <si>
    <t>https://app.auvo.com.br/informacoes/tarefa/31b58904-2bcf-4870-9443-768b72260c89?chave=ry9GypPpiPQ-zaD-X0aXIQ</t>
  </si>
  <si>
    <t>4102101001</t>
  </si>
  <si>
    <t>#74809294</t>
  </si>
  <si>
    <t>https://app.auvo.com.br/informacoes/tarefa/5e54bcc5-ee72-4340-98f8-e99ee417add8?chave=FvKPKbSlgwafUOIe3pWAkg</t>
  </si>
  <si>
    <t>Equipamento encontrado com a antenas e placa principal em curto e baterias descarregadas</t>
  </si>
  <si>
    <t>#74809292</t>
  </si>
  <si>
    <t>https://app.auvo.com.br/informacoes/tarefa/783dd7ba-50bb-4718-a98e-c43430330c7f?chave=MEypGa0CQTaqnT2yDHFHag</t>
  </si>
  <si>
    <t>Equipamento com mensagem de OFF-LINE, baterias descarregadas. Não foi possível testar o equipamento.</t>
  </si>
  <si>
    <t>#74809297</t>
  </si>
  <si>
    <t>Manutenção preventiva realizada conforme check-list</t>
  </si>
  <si>
    <t>https://app.auvo.com.br/informacoes/tarefa/a22991db-1a42-4075-ab50-71232ddf7533?chave=cI89k-hMKSU-1OEIqjrVCg</t>
  </si>
  <si>
    <t>Equipamento foi testado e está funcionando bem, porém estava com sensor IVA cm defeito, baterias do nobreak  descarregadas.</t>
  </si>
  <si>
    <t>Sensor IVA</t>
  </si>
  <si>
    <t>#74809298</t>
  </si>
  <si>
    <t>FOI REALIZADA A MANUTENÇÃO PREVENTIVA CONFORME CHECK-LIST. EQUIPAMENTO OPERACIONAL. CÂMERA DE INDIVÍDUO INOPERANTE, COM SUBSTITUIÇÃO JÁ SOLICITADA. FOI IDENTIFICADA UMA DIVISÓRIA IMPEDINDO O ACESSO AO QUADRO ELÉTRICO, SENDO INFORMADA À DIREÇÃO A NECESSIDADE DE SUA REMOÇÃO.</t>
  </si>
  <si>
    <t>https://app.auvo.com.br/informacoes/tarefa/b286c083-ced6-453d-a55e-b0c1c84af851?chave=3fciXPZ3gKO-QFE3Lxufew</t>
  </si>
  <si>
    <t>Equipamento foi testado e está funcionando bem, porém está sem chaves e baterias do nobreak descarregadas.</t>
  </si>
  <si>
    <t>4123201001</t>
  </si>
  <si>
    <t>#74809296</t>
  </si>
  <si>
    <t>https://app.auvo.com.br/informacoes/tarefa/fd249751-0022-456c-a8df-337466426aec?chave=BSWjNhTtkc-hpP6PulcLBQ</t>
  </si>
  <si>
    <t>4139301001</t>
  </si>
  <si>
    <t>#74809299</t>
  </si>
  <si>
    <t>https://app.auvo.com.br/informacoes/tarefa/5b7868e1-1351-41af-bb88-a56a1a26c336?chave=Dz15ySqdzZH-o47O58kGpg</t>
  </si>
  <si>
    <t>4078101001</t>
  </si>
  <si>
    <t>#74809293</t>
  </si>
  <si>
    <t>INFOS - VMI (CT 71/2023)</t>
  </si>
  <si>
    <t>SEM CONTRATO (lixo eletrônico)</t>
  </si>
  <si>
    <t xml:space="preserve"> Realizado preventiva com ajustes de sensibilidade, realizado teste de deteção, portal em perfeito funcionamento.</t>
  </si>
  <si>
    <t>TFNAP-IX-140098</t>
  </si>
  <si>
    <t>DESAFETAR</t>
  </si>
  <si>
    <t>SUCATA</t>
  </si>
  <si>
    <t>Equipamento foi testado e está funcionando bem, porém está sem chaves e baterias do nobreak descarregadas, barra de led na zono 1 com defeito.</t>
  </si>
  <si>
    <t>TFNAP-IX-140099</t>
  </si>
  <si>
    <t>#74809300</t>
  </si>
  <si>
    <t>Manutenção preventiva realizada conforme check-list. Obs.: Equipamento está sem placa de identificação.</t>
  </si>
  <si>
    <t>https://app.auvo.com.br/informacoes/tarefa/82eae9b4-63d8-4aa1-8977-03a8a5ce1747?chave=Ck6LaYDfWSUrx8k3AhD61w</t>
  </si>
  <si>
    <t>TFNAP-IX-140097</t>
  </si>
  <si>
    <t>Equipamentos com uma das barra de led com defeito, mas o detector foi avaliado e testado e está funcionando bem.</t>
  </si>
  <si>
    <t>#74809301</t>
  </si>
  <si>
    <t>Manutenção preventiva realizada conforme check-list. Obs.: No-break não está segurando carga.</t>
  </si>
  <si>
    <t>TFNAP-IX-150588</t>
  </si>
  <si>
    <t>Realizado visita no local e não foi encontrado nenhum portal na unidade</t>
  </si>
  <si>
    <t>4631501001</t>
  </si>
  <si>
    <t>TFNAP-IX-150533</t>
  </si>
  <si>
    <t>069/2026</t>
  </si>
  <si>
    <t>TFNAP-IX-150611</t>
  </si>
  <si>
    <t>Problema no Status PCPAS TX.</t>
  </si>
  <si>
    <t>073/2026</t>
  </si>
  <si>
    <t>TFNAP-IX-150472</t>
  </si>
  <si>
    <t>TFNAP-IX-150537</t>
  </si>
  <si>
    <t xml:space="preserve">Bateria, fechadura de acesso a placa e fechadura L/D. </t>
  </si>
  <si>
    <t>01 – Fechadura de acesso placa</t>
  </si>
  <si>
    <t>TFNAP-IX-170239</t>
  </si>
  <si>
    <t xml:space="preserve">Feito manutenção corretiva e preventiva, o mesmo estava desabilitado, todo sujo, cabos internos desconectados e sem as chaves L/D e de acesso a placa. </t>
  </si>
  <si>
    <t>01 – Fechadura de acesso a placa. 01 – Fechadura Liga e Desliga.</t>
  </si>
  <si>
    <t>REAJUSTE</t>
  </si>
  <si>
    <t>MÊS</t>
  </si>
  <si>
    <t>NOTA FISCAL</t>
  </si>
  <si>
    <t>VALOR NF</t>
  </si>
  <si>
    <t>STATUS NF (RFC/RGC)</t>
  </si>
  <si>
    <t>FONTE DE CUSTEIO</t>
  </si>
  <si>
    <t>ORDEM BANCÁRIA</t>
  </si>
  <si>
    <t>VALOR OB</t>
  </si>
  <si>
    <t>DATA DO PAGAMENTO</t>
  </si>
  <si>
    <t>STATUS OB</t>
  </si>
  <si>
    <t>2024.560101.35833</t>
  </si>
  <si>
    <t>FEV/2024</t>
  </si>
  <si>
    <t>5224, 25/06/2024</t>
  </si>
  <si>
    <t>AUTORIZADO</t>
  </si>
  <si>
    <t>2024OB063175</t>
  </si>
  <si>
    <t>16/08/2024</t>
  </si>
  <si>
    <t>PAGO</t>
  </si>
  <si>
    <t>Problema no Status PCPAS TX. Feito manutenção preventiva</t>
  </si>
  <si>
    <t>01 – Fechadura de acesso a placa.</t>
  </si>
  <si>
    <t>2024.560101.35804</t>
  </si>
  <si>
    <t>MAR/2024</t>
  </si>
  <si>
    <t>4956, 25/06/2024</t>
  </si>
  <si>
    <t>ABR/2024</t>
  </si>
  <si>
    <t>4957, 25/06/2024</t>
  </si>
  <si>
    <t>2024OB063025</t>
  </si>
  <si>
    <t>Problema no Status PCPAS TX. Bateria. Feito manutenção preventiva.</t>
  </si>
  <si>
    <t>2024.560101.35791</t>
  </si>
  <si>
    <t>MAI/2024</t>
  </si>
  <si>
    <t>4958, 25/06/2024</t>
  </si>
  <si>
    <t>Bateria. Feito Manutenção Preventiva</t>
  </si>
  <si>
    <t>2024.560101.47123</t>
  </si>
  <si>
    <t>JUN/2024</t>
  </si>
  <si>
    <t>5134, 12/07/2024</t>
  </si>
  <si>
    <t xml:space="preserve">SEI </t>
  </si>
  <si>
    <t>TIPO</t>
  </si>
  <si>
    <t>2024OB068604</t>
  </si>
  <si>
    <t>DATA NF</t>
  </si>
  <si>
    <t>03/09/2024</t>
  </si>
  <si>
    <t>2024.560101.51922</t>
  </si>
  <si>
    <t>JUL/2024</t>
  </si>
  <si>
    <t>5389, 12/08/2024</t>
  </si>
  <si>
    <t>MANUTENÇÃO DE PÓRTICOS</t>
  </si>
  <si>
    <t>2026.560101.05044</t>
  </si>
  <si>
    <t>MANUTENÇÃO</t>
  </si>
  <si>
    <t>2024OB077718</t>
  </si>
  <si>
    <t>DEZ/2025</t>
  </si>
  <si>
    <t>30/09/2024</t>
  </si>
  <si>
    <t>ESTADO</t>
  </si>
  <si>
    <t>2024.560101.52986</t>
  </si>
  <si>
    <t>AGO/2024</t>
  </si>
  <si>
    <t>5554, 09/09/2024</t>
  </si>
  <si>
    <t>2026OB033443</t>
  </si>
  <si>
    <t>FUNPEN 2022</t>
  </si>
  <si>
    <t>Bateria, está sem chaves de acesso a placa. Feito Manutenção Preventiva</t>
  </si>
  <si>
    <t>2024OB077713</t>
  </si>
  <si>
    <t>2026.560101.07637</t>
  </si>
  <si>
    <t>2024.560101.59543</t>
  </si>
  <si>
    <t>SET/2024</t>
  </si>
  <si>
    <t>JAN/2026</t>
  </si>
  <si>
    <t>5846, 09/10/2024</t>
  </si>
  <si>
    <t>2024OB096813</t>
  </si>
  <si>
    <t>19/11/2024</t>
  </si>
  <si>
    <t>2026OB037460</t>
  </si>
  <si>
    <t>Bateria, fechadura de acesso a placa. Feito Manutenção Preventiva</t>
  </si>
  <si>
    <t>2026.560101.32847</t>
  </si>
  <si>
    <t>FEV/2026</t>
  </si>
  <si>
    <t>FORNECIMENTO DE PEÇA</t>
  </si>
  <si>
    <t>2026OB068263</t>
  </si>
  <si>
    <t>2024OB096818</t>
  </si>
  <si>
    <t>2026.560101.32825</t>
  </si>
  <si>
    <t>MAR/2026</t>
  </si>
  <si>
    <t>2026OB068153</t>
  </si>
  <si>
    <t>2024OB096842</t>
  </si>
  <si>
    <t>2026.560101.29450</t>
  </si>
  <si>
    <t>ABR/2026</t>
  </si>
  <si>
    <t>2026OB061649</t>
  </si>
  <si>
    <t>2024.560101.65434</t>
  </si>
  <si>
    <t>OUT/2024</t>
  </si>
  <si>
    <t>6003, 05/11/2024</t>
  </si>
  <si>
    <t>2024OB095197</t>
  </si>
  <si>
    <t>2026.560101.36328</t>
  </si>
  <si>
    <t>14/11/2024</t>
  </si>
  <si>
    <t>MAI/2026</t>
  </si>
  <si>
    <t>aguardando</t>
  </si>
  <si>
    <t>2024.560101.73214</t>
  </si>
  <si>
    <t>NOV/2024</t>
  </si>
  <si>
    <t>6437, 11/12/2024</t>
  </si>
  <si>
    <t>2026.560101.45880</t>
  </si>
  <si>
    <t>133/2025</t>
  </si>
  <si>
    <t>LOCAÇÃO DE RÁDIOS</t>
  </si>
  <si>
    <t>JUN/2026</t>
  </si>
  <si>
    <t>2026.560101.04847</t>
  </si>
  <si>
    <t>3628</t>
  </si>
  <si>
    <t>2024OB111832</t>
  </si>
  <si>
    <t>AUTORIZADA</t>
  </si>
  <si>
    <t>18/12/2024</t>
  </si>
  <si>
    <t>20260B021958</t>
  </si>
  <si>
    <t>2026.560101.10622</t>
  </si>
  <si>
    <t>3671</t>
  </si>
  <si>
    <t>JUL/2026</t>
  </si>
  <si>
    <t>2026OB022126</t>
  </si>
  <si>
    <t>2025.560101.01018</t>
  </si>
  <si>
    <t>DEZ/2024</t>
  </si>
  <si>
    <t>6570, 03/01/2025</t>
  </si>
  <si>
    <t>2026.560101.16619</t>
  </si>
  <si>
    <t>3717</t>
  </si>
  <si>
    <t>2026OB032863</t>
  </si>
  <si>
    <t>2025OB018381</t>
  </si>
  <si>
    <t xml:space="preserve">Manutenção Corretiva e Preventiva, Limpeza interna e externa, ajustes e configurações, chave L/D e fechadura de acesso a placa. </t>
  </si>
  <si>
    <t>21/03/2025</t>
  </si>
  <si>
    <t>2026.560101.24376</t>
  </si>
  <si>
    <t>3758</t>
  </si>
  <si>
    <t>AGO/2026</t>
  </si>
  <si>
    <t>2026OB044018</t>
  </si>
  <si>
    <t>2025.560101.09084</t>
  </si>
  <si>
    <t>JAN/2025</t>
  </si>
  <si>
    <t>6922, 10/02/2025</t>
  </si>
  <si>
    <t>2026.560101.31476</t>
  </si>
  <si>
    <t>3809</t>
  </si>
  <si>
    <t>2025OB009761</t>
  </si>
  <si>
    <t>2026OB054040</t>
  </si>
  <si>
    <t>25/02/2025</t>
  </si>
  <si>
    <t>2026.560101.38882</t>
  </si>
  <si>
    <t>3858</t>
  </si>
  <si>
    <t>2026OB068113</t>
  </si>
  <si>
    <t xml:space="preserve">Manutenção Corretiva e Preventiva, limpeza interna e externa, barra de led, chave L/D, fechadura de acesso a placa, ajustes na velocidade superior. </t>
  </si>
  <si>
    <t>SET/2026</t>
  </si>
  <si>
    <t>2025.560101.15661</t>
  </si>
  <si>
    <t>FEV/2025</t>
  </si>
  <si>
    <t>7200, 14/03/2025</t>
  </si>
  <si>
    <t>2026.560101.45824</t>
  </si>
  <si>
    <t>3907</t>
  </si>
  <si>
    <t xml:space="preserve">PENDENTE </t>
  </si>
  <si>
    <t>2025OB023283</t>
  </si>
  <si>
    <t>04/04/2025</t>
  </si>
  <si>
    <t>2025.560101.21990</t>
  </si>
  <si>
    <t>MAR/2025</t>
  </si>
  <si>
    <t>7507, 08/04/2025</t>
  </si>
  <si>
    <t>OUT/2026</t>
  </si>
  <si>
    <t xml:space="preserve">Manutenção corretiva, fechaduras de acesso a placa e L/D, baterias, falta de cabo de força. </t>
  </si>
  <si>
    <t>2025OB034522</t>
  </si>
  <si>
    <t>09/05/2025</t>
  </si>
  <si>
    <t>NOV/2026</t>
  </si>
  <si>
    <t>0000000</t>
  </si>
  <si>
    <t>Manutenção corretiva, fechaduras de acesso a placa e L/D, baterias, falta de cabo de força, cabo chicote antena, barra de led, base da antena</t>
  </si>
  <si>
    <t>2025OB034488</t>
  </si>
  <si>
    <t>2025.560101.27268</t>
  </si>
  <si>
    <t>ABR/2025</t>
  </si>
  <si>
    <t>7710, 06/05/2025</t>
  </si>
  <si>
    <t xml:space="preserve">Manutenção Corretiva e Preventiva, Cabo de alimentação estava danificado, fechaduras de acesso a placa e L/D, limpeza interna, ajustes nas configurações. </t>
  </si>
  <si>
    <t>2025OB048560</t>
  </si>
  <si>
    <t>13/06/2025</t>
  </si>
  <si>
    <t>2025.560101.35302</t>
  </si>
  <si>
    <t>MAI/2025</t>
  </si>
  <si>
    <t>8035, 05/06/2025</t>
  </si>
  <si>
    <t>Manutenção corretiva, fechaduras de acesso a placa e L/D, baterias.</t>
  </si>
  <si>
    <t>2025OB059554</t>
  </si>
  <si>
    <t>11/07/2025</t>
  </si>
  <si>
    <t>2025.560101.41935</t>
  </si>
  <si>
    <t>JUN/2025</t>
  </si>
  <si>
    <t>8283, 07/07/2025</t>
  </si>
  <si>
    <t>2025OB073034</t>
  </si>
  <si>
    <t>14/08/2025</t>
  </si>
  <si>
    <t xml:space="preserve">Equipamento em funcionamento, porem sem chaves pacre Liga/desl e baterias nobreak danificadas. </t>
  </si>
  <si>
    <t>Trocamos fechadura chaves pacre e deixamos o equipamento operando</t>
  </si>
  <si>
    <t>FÁBIO</t>
  </si>
  <si>
    <t>2025.560101.49690</t>
  </si>
  <si>
    <t>JUL/2025</t>
  </si>
  <si>
    <t>8574, 07/08/2025</t>
  </si>
  <si>
    <t>2025OB083761</t>
  </si>
  <si>
    <t xml:space="preserve">Equipamento em funcionamento, baterias nobreak danificadas. </t>
  </si>
  <si>
    <t>11/09/2025</t>
  </si>
  <si>
    <t xml:space="preserve">     </t>
  </si>
  <si>
    <t>2025.560101.59413</t>
  </si>
  <si>
    <t>AGO/2025</t>
  </si>
  <si>
    <t>8880. 16/09/2025</t>
  </si>
  <si>
    <t xml:space="preserve">Equipamento em funcionamento, porem Fechadura Chave da porta do gabinete eletrônico quebrado  e baterias nobreak danificadas. </t>
  </si>
  <si>
    <t>Trocamos a fechadura chaves e deixamos o equipamento operando</t>
  </si>
  <si>
    <t>2025OB104712</t>
  </si>
  <si>
    <t>31/10/2025</t>
  </si>
  <si>
    <t>FEV/MAR/ABR/MAI/JUN/JUL - 2025</t>
  </si>
  <si>
    <t>STATUS NF</t>
  </si>
  <si>
    <t>VALOR DO OB</t>
  </si>
  <si>
    <t>2025.560101.59415</t>
  </si>
  <si>
    <t>RETROATIVO (REAJUSTE)</t>
  </si>
  <si>
    <t>8881, 16/09/2025</t>
  </si>
  <si>
    <t>156/2025</t>
  </si>
  <si>
    <t>MUNIÇÃO MPO AM 403-P</t>
  </si>
  <si>
    <t>2026.560101.00928</t>
  </si>
  <si>
    <t>42601, de 19/12/2025</t>
  </si>
  <si>
    <t>2025OB097678</t>
  </si>
  <si>
    <t>2026OB013343
2026OB013413
20260B013444</t>
  </si>
  <si>
    <t>14/10/2025</t>
  </si>
  <si>
    <t>R$ 123.931,58
R$ 29.546,16
R$ 2.604,68</t>
  </si>
  <si>
    <t xml:space="preserve">Equipamento em funcionamento, porem baterias nobreak danificadas. </t>
  </si>
  <si>
    <t>2025.560101.72785</t>
  </si>
  <si>
    <t>SET/2025</t>
  </si>
  <si>
    <t>100, 17/10/2025</t>
  </si>
  <si>
    <t>2026OB003670</t>
  </si>
  <si>
    <t>30/01/2026</t>
  </si>
  <si>
    <t>2025.560101.73049</t>
  </si>
  <si>
    <t>OUT/2025</t>
  </si>
  <si>
    <t>324, 07/11/2025</t>
  </si>
  <si>
    <t>142/2025</t>
  </si>
  <si>
    <t>EXTINTOR FOGO ZERO</t>
  </si>
  <si>
    <t>2026.560101.00838</t>
  </si>
  <si>
    <t>1184, de 03/12/2025</t>
  </si>
  <si>
    <t>2026OB007892</t>
  </si>
  <si>
    <t>Tocamos a fechadura chaves e deixamos o equipamento operando</t>
  </si>
  <si>
    <t>2025.560101.79615</t>
  </si>
  <si>
    <t>2026.560101.00876</t>
  </si>
  <si>
    <t>1185, de 03/12/2025</t>
  </si>
  <si>
    <t>NOV/2025</t>
  </si>
  <si>
    <t>705, 08/12/2025</t>
  </si>
  <si>
    <t>2026OB023706</t>
  </si>
  <si>
    <t>2026OB011879</t>
  </si>
  <si>
    <t>24/02/2026</t>
  </si>
  <si>
    <t>2026.560101.00850</t>
  </si>
  <si>
    <t>1186, de 03/12/2025</t>
  </si>
  <si>
    <t>2026OB022872</t>
  </si>
  <si>
    <t>R$ 187.500,00</t>
  </si>
  <si>
    <t>2026.560101.02311</t>
  </si>
  <si>
    <t>117, 13/01/2026</t>
  </si>
  <si>
    <t xml:space="preserve">Equipamento em funcionamento, porem Fechadura Chave da porta do gabinete eletrônico e chaves pacre Liga/desl ambos quebrados e baterias nobreak danificadas. </t>
  </si>
  <si>
    <t>Trocamos a fechadura chaves e chaves pacre Liga/desl.  e deixamos o equipamento operando</t>
  </si>
  <si>
    <t>2026OB023911</t>
  </si>
  <si>
    <t>20/03/2026</t>
  </si>
  <si>
    <t>VALOR DA OB</t>
  </si>
  <si>
    <t>140/2025</t>
  </si>
  <si>
    <t>MUNIÇÃO CAL.40</t>
  </si>
  <si>
    <t>2026.560101.04337</t>
  </si>
  <si>
    <t>288540, de 30/12/2025</t>
  </si>
  <si>
    <t>2026.560101.09343</t>
  </si>
  <si>
    <t>372, 11/02/2026</t>
  </si>
  <si>
    <t>2026OB021732
2026OB021731
2026OB021729</t>
  </si>
  <si>
    <t>R$ 6.958,68
R$ 490,76
R$ 37.936,04</t>
  </si>
  <si>
    <t>2026OB033346</t>
  </si>
  <si>
    <t>16/04/2026</t>
  </si>
  <si>
    <t>2026.560101.16118</t>
  </si>
  <si>
    <t>807, 23/03/2026</t>
  </si>
  <si>
    <t>124/2025</t>
  </si>
  <si>
    <t>MUNIÇÃO 9MM</t>
  </si>
  <si>
    <t>2026.560101.24514</t>
  </si>
  <si>
    <t>291761, de 13/03/2026</t>
  </si>
  <si>
    <t>2026OB036829</t>
  </si>
  <si>
    <t>28/04/2026</t>
  </si>
  <si>
    <t>2026OB039095
2026OB039094</t>
  </si>
  <si>
    <t>R$ 452,64
R$ 37.267,36</t>
  </si>
  <si>
    <t>04/05/2026</t>
  </si>
  <si>
    <t>2026.560101.24044</t>
  </si>
  <si>
    <t>963, 14/04/2026</t>
  </si>
  <si>
    <t>2026OB043986</t>
  </si>
  <si>
    <t>13/05/2026</t>
  </si>
  <si>
    <t>Trocamos a fechadura e chaves Liga/desl.  e deixamos o equipamento operando</t>
  </si>
  <si>
    <t>115/2025</t>
  </si>
  <si>
    <t>ALGEMAS DE PULSO E TORNOZELO</t>
  </si>
  <si>
    <t>2025.560101.79001</t>
  </si>
  <si>
    <t>111, de 27/11/2025</t>
  </si>
  <si>
    <t>2026.560101.30771</t>
  </si>
  <si>
    <t>1229, 13/05/2026</t>
  </si>
  <si>
    <t>2025OB130437
2025OB128739</t>
  </si>
  <si>
    <t>R$ 28.779,00
R$ 989,00</t>
  </si>
  <si>
    <t>2026OB054516
2026OB054767</t>
  </si>
  <si>
    <t>11/06/2026</t>
  </si>
  <si>
    <t>Equipamento em funcionamento, baterias nobreak danificadas. Porém equipamento desativado pela direção e guardado no depósito.</t>
  </si>
  <si>
    <t>2026.560101.38378</t>
  </si>
  <si>
    <t>FONTE CUSTEIO</t>
  </si>
  <si>
    <t>1515, 15/06/2026</t>
  </si>
  <si>
    <t>114/2025</t>
  </si>
  <si>
    <t>MUNIÇÃO CARGA BALOTE</t>
  </si>
  <si>
    <t>2026.560101.05847</t>
  </si>
  <si>
    <t>310572, de 03/12/2025</t>
  </si>
  <si>
    <t>2026OB021714
2026OB021715</t>
  </si>
  <si>
    <t>R$ 3.858,14
R$ 46,86</t>
  </si>
  <si>
    <t>VALOR TOTAL PAGO</t>
  </si>
  <si>
    <t>085/2025</t>
  </si>
  <si>
    <t>MUNIÇÃO GL-101</t>
  </si>
  <si>
    <t>2025.560101.75855</t>
  </si>
  <si>
    <t>41788, 30/10/2025</t>
  </si>
  <si>
    <t>2025OB119065
2025OB119066</t>
  </si>
  <si>
    <t>Equipamento em funcionamento.</t>
  </si>
  <si>
    <t>VALOR UTILIZADO - 06/05/2025</t>
  </si>
  <si>
    <t>VALOR</t>
  </si>
  <si>
    <t>PLANO DO FUNDO (MEMO CIRC. 04/2024)</t>
  </si>
  <si>
    <t>084/2025</t>
  </si>
  <si>
    <t>MUNIÇÃO 5,56</t>
  </si>
  <si>
    <t>2026.560101.04332</t>
  </si>
  <si>
    <t>287643, de 15/12/2025</t>
  </si>
  <si>
    <t>2026OB017243
20260B017246</t>
  </si>
  <si>
    <t>R$ 4.077,10
R$ 21.205,82</t>
  </si>
  <si>
    <t>079/2025</t>
  </si>
  <si>
    <t>COLETE BALÍSTICO III-A</t>
  </si>
  <si>
    <t>77841, de 29/10/2025</t>
  </si>
  <si>
    <t>2025OB125355
2025OB125366</t>
  </si>
  <si>
    <t>2026.560101.22232</t>
  </si>
  <si>
    <t>80189, de 30/01/2026</t>
  </si>
  <si>
    <t>2026OB036776</t>
  </si>
  <si>
    <t>SALDO FINAL</t>
  </si>
  <si>
    <t>INFORMAÇÕES CONTRATUAIS</t>
  </si>
  <si>
    <t>049/2025</t>
  </si>
  <si>
    <t>MUNIÇÃO CAL. 12 3T</t>
  </si>
  <si>
    <t>VALOR DO CONTRATO (1° ANO)</t>
  </si>
  <si>
    <t>2025.560101.75798</t>
  </si>
  <si>
    <t>308986, 29/10/2025</t>
  </si>
  <si>
    <t>2025OB120706
2025OB120713
2025OB120711
2025OB120708</t>
  </si>
  <si>
    <t>VALOR FUNPEN (MEMO CIRC. 04/2024)</t>
  </si>
  <si>
    <t xml:space="preserve">Equipamento inoperante, Placa eletrônica com defeito, fonte 24v com defeito e Fechadura Chave da porta do gabinete eletrônico e chaves pacre Liga/desl ambos quebrados baterias nobreak danificadas. </t>
  </si>
  <si>
    <t>TOTAL</t>
  </si>
  <si>
    <t>031/2025</t>
  </si>
  <si>
    <t>2025.560101.28702</t>
  </si>
  <si>
    <t>000057, 28/04/2025</t>
  </si>
  <si>
    <t>2025OB048325</t>
  </si>
  <si>
    <t>084/2024</t>
  </si>
  <si>
    <t>RECARGA E MANUTENÇÃO DE EXTINTOR</t>
  </si>
  <si>
    <t>2024.560101.63161</t>
  </si>
  <si>
    <t>6331, 25/10/2024</t>
  </si>
  <si>
    <t>2024OB107751</t>
  </si>
  <si>
    <t xml:space="preserve">Equipamento em funcionamento, porem Fechadura Chave da porta do gabinete eletrônico quebrado. </t>
  </si>
  <si>
    <t>2024.560101.66686</t>
  </si>
  <si>
    <t>6365, 08/11/2024</t>
  </si>
  <si>
    <t>2025OB002220</t>
  </si>
  <si>
    <t>2024.560101.67519</t>
  </si>
  <si>
    <t>6368, 14/11/2024</t>
  </si>
  <si>
    <t>2025OB008867</t>
  </si>
  <si>
    <t>2025.560101.05652</t>
  </si>
  <si>
    <t>6490, 28/01/2025</t>
  </si>
  <si>
    <t>2025OB018501</t>
  </si>
  <si>
    <t>2025.560101.31599</t>
  </si>
  <si>
    <t>6713, 23/05/2025</t>
  </si>
  <si>
    <t>2025OB048549</t>
  </si>
  <si>
    <t>2025.560101.47045</t>
  </si>
  <si>
    <t>6858, 29/07/2025</t>
  </si>
  <si>
    <t>2025OB082200</t>
  </si>
  <si>
    <t>2025.560101.48815</t>
  </si>
  <si>
    <t>6864, 30/07/2025</t>
  </si>
  <si>
    <t>2025OB097657</t>
  </si>
  <si>
    <t xml:space="preserve">Equipamento em funcionamento, porém fonte alterada na tensões, cabo eletrico cortado e baterias nobreak danificadas. </t>
  </si>
  <si>
    <t>Trocamos o cabo eletrico regulamos as tensões da fonte. e deixamos o equipamento operando</t>
  </si>
  <si>
    <t>050/2024</t>
  </si>
  <si>
    <t>ESPINGARDA CAL. 12 (MILITARY 3.0)</t>
  </si>
  <si>
    <t>2024.560101.65268</t>
  </si>
  <si>
    <t>286639, de 30/09/24</t>
  </si>
  <si>
    <t>2024OB099587
2024OB099688
2024OB099689
2024OB099691</t>
  </si>
  <si>
    <t>2025.560101.45899</t>
  </si>
  <si>
    <t>298523, de 28/04/2025</t>
  </si>
  <si>
    <t>2025OB066231</t>
  </si>
  <si>
    <t>Equipamento em garantia e em perfeito funcionamento.</t>
  </si>
  <si>
    <t>FUNPEN 2018</t>
  </si>
  <si>
    <t>187/2023</t>
  </si>
  <si>
    <t>PISTOLA CAL. 9MM</t>
  </si>
  <si>
    <t>2025.560101.36954</t>
  </si>
  <si>
    <t>001318207, de 23/05/2025</t>
  </si>
  <si>
    <t>2025OB056699
2025OB056684
2025OB056686
2025OB056701</t>
  </si>
  <si>
    <t xml:space="preserve">Equipamento inoperante, Cabo eletrico danificado, fonte 24v com defeito e  baterias nobreak danificadas.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</si>
</sst>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dd/mm/yyyy"/>
    <numFmt numFmtId="167" formatCode="d/m/yyyy"/>
  </numFmts>
  <fonts count="41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0.0"/>
      <color theme="1"/>
      <name val="Arial"/>
      <scheme val="minor"/>
    </font>
    <font>
      <b/>
      <sz val="10.0"/>
      <color theme="1"/>
      <name val="Roboto"/>
    </font>
    <font>
      <b/>
      <color theme="1"/>
      <name val="Arial"/>
      <scheme val="minor"/>
    </font>
    <font>
      <b/>
      <sz val="10.0"/>
      <color rgb="FF434343"/>
      <name val="Roboto"/>
    </font>
    <font>
      <b/>
      <color rgb="FFFFFFFF"/>
      <name val="Arial"/>
      <scheme val="minor"/>
    </font>
    <font>
      <sz val="10.0"/>
      <color theme="1"/>
      <name val="Arial"/>
      <scheme val="minor"/>
    </font>
    <font>
      <b/>
      <i/>
      <color theme="1"/>
      <name val="Arial"/>
      <scheme val="minor"/>
    </font>
    <font>
      <b/>
      <color rgb="FF434343"/>
      <name val="Arial"/>
      <scheme val="minor"/>
    </font>
    <font>
      <b/>
      <sz val="10.0"/>
      <color theme="1"/>
      <name val="Arial"/>
      <scheme val="minor"/>
    </font>
    <font>
      <b/>
      <u/>
      <sz val="10.0"/>
      <color rgb="FF434343"/>
      <name val="Roboto"/>
    </font>
    <font>
      <b/>
      <i/>
      <sz val="11.0"/>
      <color theme="1"/>
      <name val="Times New Roman"/>
    </font>
    <font>
      <sz val="11.0"/>
      <color theme="1"/>
      <name val="Times New Roman"/>
    </font>
    <font>
      <sz val="11.0"/>
      <color rgb="FFFFFFFF"/>
      <name val="Times New Roman"/>
    </font>
    <font>
      <b/>
      <sz val="9.0"/>
      <color rgb="FFFFFFFF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rgb="FF434343"/>
      <name val="Roboto"/>
    </font>
    <font>
      <color theme="1"/>
      <name val="Arial"/>
    </font>
    <font>
      <color rgb="FFFFFFFF"/>
      <name val="Arial"/>
      <scheme val="minor"/>
    </font>
    <font>
      <color rgb="FF434343"/>
      <name val="Arial"/>
      <scheme val="minor"/>
    </font>
    <font>
      <u/>
      <color rgb="FF434343"/>
      <name val="Roboto"/>
    </font>
    <font>
      <color rgb="FF000000"/>
      <name val="Roboto"/>
    </font>
    <font>
      <u/>
      <color rgb="FF0000FF"/>
      <name val="Roboto"/>
    </font>
    <font>
      <u/>
      <color rgb="FF434343"/>
      <name val="Arial"/>
      <scheme val="minor"/>
    </font>
    <font>
      <u/>
      <color rgb="FF434343"/>
      <name val="Roboto"/>
    </font>
    <font>
      <color rgb="FF1F1F1F"/>
      <name val="&quot;Google Sans Text&quot;"/>
    </font>
    <font>
      <u/>
      <color rgb="FF434343"/>
      <name val="Arial"/>
      <scheme val="minor"/>
    </font>
    <font>
      <u/>
      <color rgb="FF434343"/>
      <name val="Roboto"/>
    </font>
    <font>
      <u/>
      <color rgb="FF434343"/>
      <name val="Roboto"/>
    </font>
    <font>
      <color rgb="FF434343"/>
      <name val="Roboto"/>
    </font>
    <font>
      <u/>
      <color rgb="FF0000FF"/>
      <name val="Roboto"/>
    </font>
    <font>
      <u/>
      <color rgb="FF434343"/>
      <name val="Arial"/>
      <scheme val="minor"/>
    </font>
    <font>
      <b/>
      <color theme="1"/>
      <name val="Roboto"/>
    </font>
    <font>
      <b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u/>
      <color rgb="FF0000FF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  <fill>
      <patternFill patternType="solid">
        <fgColor rgb="FF373F6B"/>
        <bgColor rgb="FF373F6B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50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0" fontId="1" numFmtId="164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49" xfId="0" applyAlignment="1" applyBorder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5" fillId="0" fontId="4" numFmtId="49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8" fillId="0" fontId="5" numFmtId="49" xfId="0" applyAlignment="1" applyBorder="1" applyFont="1" applyNumberFormat="1">
      <alignment horizontal="center" readingOrder="0" shrinkToFit="0" vertical="center" wrapText="0"/>
    </xf>
    <xf borderId="9" fillId="2" fontId="4" numFmtId="0" xfId="0" applyAlignment="1" applyBorder="1" applyFill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8" fillId="3" fontId="5" numFmtId="49" xfId="0" applyAlignment="1" applyBorder="1" applyFill="1" applyFont="1" applyNumberFormat="1">
      <alignment horizontal="center" readingOrder="0" shrinkToFit="0" vertical="center" wrapText="1"/>
    </xf>
    <xf borderId="10" fillId="4" fontId="6" numFmtId="164" xfId="0" applyAlignment="1" applyBorder="1" applyFill="1" applyFont="1" applyNumberFormat="1">
      <alignment horizontal="center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10" fillId="2" fontId="4" numFmtId="49" xfId="0" applyAlignment="1" applyBorder="1" applyFont="1" applyNumberFormat="1">
      <alignment horizontal="center" readingOrder="0" shrinkToFit="0" vertical="center" wrapText="0"/>
    </xf>
    <xf borderId="10" fillId="2" fontId="4" numFmtId="0" xfId="0" applyAlignment="1" applyBorder="1" applyFont="1">
      <alignment horizontal="center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12" fillId="0" fontId="4" numFmtId="49" xfId="0" applyAlignment="1" applyBorder="1" applyFont="1" applyNumberFormat="1">
      <alignment horizontal="center" readingOrder="0" shrinkToFit="0" vertical="center" wrapText="0"/>
    </xf>
    <xf borderId="10" fillId="2" fontId="4" numFmtId="165" xfId="0" applyAlignment="1" applyBorder="1" applyFont="1" applyNumberFormat="1">
      <alignment horizontal="center" readingOrder="0" shrinkToFit="0" vertical="center" wrapText="0"/>
    </xf>
    <xf borderId="12" fillId="0" fontId="4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0" fillId="2" fontId="8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readingOrder="0" shrinkToFit="0" vertical="center" wrapText="0"/>
    </xf>
    <xf borderId="13" fillId="2" fontId="8" numFmtId="0" xfId="0" applyAlignment="1" applyBorder="1" applyFont="1">
      <alignment horizontal="center" readingOrder="0" shrinkToFit="0" vertical="center" wrapText="0"/>
    </xf>
    <xf borderId="10" fillId="2" fontId="8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3" fillId="2" fontId="9" numFmtId="0" xfId="0" applyAlignment="1" applyBorder="1" applyFont="1">
      <alignment horizontal="center" readingOrder="0" shrinkToFit="0" vertical="center" wrapText="1"/>
    </xf>
    <xf borderId="13" fillId="5" fontId="4" numFmtId="166" xfId="0" applyAlignment="1" applyBorder="1" applyFill="1" applyFont="1" applyNumberFormat="1">
      <alignment horizontal="center" readingOrder="0" shrinkToFit="0" vertical="center" wrapText="0"/>
    </xf>
    <xf borderId="14" fillId="5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10" fillId="2" fontId="8" numFmtId="0" xfId="0" applyAlignment="1" applyBorder="1" applyFont="1">
      <alignment horizontal="center" readingOrder="0" shrinkToFit="0" vertical="center" wrapText="0"/>
    </xf>
    <xf borderId="0" fillId="6" fontId="4" numFmtId="0" xfId="0" applyAlignment="1" applyFill="1" applyFont="1">
      <alignment horizontal="center" readingOrder="0" shrinkToFit="0" vertical="center" wrapText="0"/>
    </xf>
    <xf borderId="10" fillId="2" fontId="8" numFmtId="165" xfId="0" applyAlignment="1" applyBorder="1" applyFont="1" applyNumberFormat="1">
      <alignment horizontal="center" readingOrder="0" shrinkToFit="0" vertical="center" wrapText="0"/>
    </xf>
    <xf borderId="10" fillId="2" fontId="8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1" fillId="0" fontId="3" numFmtId="166" xfId="0" applyAlignment="1" applyBorder="1" applyFont="1" applyNumberFormat="1">
      <alignment horizontal="center" readingOrder="0" shrinkToFit="0" vertical="center" wrapText="0"/>
    </xf>
    <xf borderId="15" fillId="2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16" fillId="0" fontId="3" numFmtId="0" xfId="0" applyAlignment="1" applyBorder="1" applyFont="1">
      <alignment horizontal="center" readingOrder="0" shrinkToFit="0" vertical="center" wrapText="0"/>
    </xf>
    <xf borderId="13" fillId="4" fontId="6" numFmtId="164" xfId="0" applyAlignment="1" applyBorder="1" applyFont="1" applyNumberFormat="1">
      <alignment horizontal="center" readingOrder="0" shrinkToFit="0" vertical="center" wrapText="0"/>
    </xf>
    <xf borderId="13" fillId="2" fontId="4" numFmtId="49" xfId="0" applyAlignment="1" applyBorder="1" applyFont="1" applyNumberFormat="1">
      <alignment horizontal="center" readingOrder="0" shrinkToFit="0" vertical="center" wrapText="0"/>
    </xf>
    <xf borderId="13" fillId="2" fontId="4" numFmtId="0" xfId="0" applyAlignment="1" applyBorder="1" applyFont="1">
      <alignment horizontal="center" readingOrder="0" shrinkToFit="0" vertical="center" wrapText="0"/>
    </xf>
    <xf borderId="17" fillId="2" fontId="4" numFmtId="165" xfId="0" applyAlignment="1" applyBorder="1" applyFont="1" applyNumberFormat="1">
      <alignment horizontal="center" readingOrder="0" shrinkToFit="0" vertical="center" wrapText="0"/>
    </xf>
    <xf borderId="17" fillId="2" fontId="4" numFmtId="0" xfId="0" applyAlignment="1" applyBorder="1" applyFont="1">
      <alignment horizontal="center" readingOrder="0" shrinkToFit="0" vertical="center" wrapText="0"/>
    </xf>
    <xf borderId="11" fillId="3" fontId="5" numFmtId="0" xfId="0" applyAlignment="1" applyBorder="1" applyFont="1">
      <alignment horizontal="center" readingOrder="0" shrinkToFit="0" vertical="center" wrapText="0"/>
    </xf>
    <xf borderId="10" fillId="2" fontId="4" numFmtId="0" xfId="0" applyAlignment="1" applyBorder="1" applyFont="1">
      <alignment horizontal="center" shrinkToFit="0" vertical="center" wrapText="0"/>
    </xf>
    <xf borderId="10" fillId="2" fontId="8" numFmtId="0" xfId="0" applyAlignment="1" applyBorder="1" applyFont="1">
      <alignment horizontal="center" shrinkToFit="0" vertical="center" wrapText="0"/>
    </xf>
    <xf borderId="10" fillId="2" fontId="8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10" fillId="5" fontId="4" numFmtId="166" xfId="0" applyAlignment="1" applyBorder="1" applyFont="1" applyNumberFormat="1">
      <alignment horizontal="center" readingOrder="0" shrinkToFit="0" vertical="center" wrapText="0"/>
    </xf>
    <xf borderId="18" fillId="5" fontId="4" numFmtId="0" xfId="0" applyAlignment="1" applyBorder="1" applyFont="1">
      <alignment horizontal="center" readingOrder="0"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19" fillId="7" fontId="12" numFmtId="0" xfId="0" applyAlignment="1" applyBorder="1" applyFill="1" applyFont="1">
      <alignment horizontal="center" readingOrder="0" vertical="center"/>
    </xf>
    <xf borderId="20" fillId="4" fontId="13" numFmtId="49" xfId="0" applyAlignment="1" applyBorder="1" applyFont="1" applyNumberFormat="1">
      <alignment horizontal="center" readingOrder="0" vertical="center"/>
    </xf>
    <xf borderId="21" fillId="8" fontId="13" numFmtId="49" xfId="0" applyAlignment="1" applyBorder="1" applyFill="1" applyFont="1" applyNumberFormat="1">
      <alignment horizontal="center" readingOrder="0" vertical="center"/>
    </xf>
    <xf borderId="11" fillId="9" fontId="14" numFmtId="49" xfId="0" applyAlignment="1" applyBorder="1" applyFill="1" applyFont="1" applyNumberFormat="1">
      <alignment horizontal="center" readingOrder="0" vertical="center"/>
    </xf>
    <xf borderId="3" fillId="0" fontId="1" numFmtId="49" xfId="0" applyAlignment="1" applyBorder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7" fillId="10" fontId="15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6" fillId="11" fontId="16" numFmtId="0" xfId="0" applyAlignment="1" applyBorder="1" applyFill="1" applyFont="1">
      <alignment horizontal="center" readingOrder="0" vertical="center"/>
    </xf>
    <xf borderId="22" fillId="11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12" fillId="7" fontId="4" numFmtId="0" xfId="0" applyAlignment="1" applyBorder="1" applyFont="1">
      <alignment horizontal="center" readingOrder="0" shrinkToFit="0" vertical="center" wrapText="0"/>
    </xf>
    <xf borderId="10" fillId="12" fontId="8" numFmtId="0" xfId="0" applyAlignment="1" applyBorder="1" applyFill="1" applyFont="1">
      <alignment horizontal="center" readingOrder="0" shrinkToFit="0" vertical="center" wrapText="0"/>
    </xf>
    <xf borderId="10" fillId="12" fontId="4" numFmtId="0" xfId="0" applyAlignment="1" applyBorder="1" applyFont="1">
      <alignment horizontal="center" readingOrder="0" shrinkToFit="0" vertical="center" wrapText="1"/>
    </xf>
    <xf borderId="0" fillId="13" fontId="19" numFmtId="0" xfId="0" applyAlignment="1" applyFill="1" applyFont="1">
      <alignment horizontal="center" readingOrder="0" vertical="center"/>
    </xf>
    <xf borderId="17" fillId="12" fontId="4" numFmtId="0" xfId="0" applyAlignment="1" applyBorder="1" applyFont="1">
      <alignment horizontal="center" readingOrder="0" shrinkToFit="0" vertical="center" wrapText="1"/>
    </xf>
    <xf borderId="17" fillId="2" fontId="20" numFmtId="0" xfId="0" applyAlignment="1" applyBorder="1" applyFont="1">
      <alignment horizontal="center" readingOrder="0" shrinkToFit="0" vertical="center" wrapText="0"/>
    </xf>
    <xf borderId="17" fillId="14" fontId="4" numFmtId="0" xfId="0" applyAlignment="1" applyBorder="1" applyFill="1" applyFont="1">
      <alignment horizontal="center" readingOrder="0" shrinkToFit="0" vertical="center" wrapText="1"/>
    </xf>
    <xf borderId="10" fillId="14" fontId="4" numFmtId="165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23" fillId="0" fontId="4" numFmtId="0" xfId="0" applyAlignment="1" applyBorder="1" applyFont="1">
      <alignment horizontal="center" readingOrder="0" shrinkToFit="0" vertical="center" wrapText="0"/>
    </xf>
    <xf borderId="23" fillId="0" fontId="4" numFmtId="49" xfId="0" applyAlignment="1" applyBorder="1" applyFont="1" applyNumberFormat="1">
      <alignment horizontal="center" readingOrder="0" shrinkToFit="0" vertical="center" wrapText="0"/>
    </xf>
    <xf borderId="23" fillId="0" fontId="4" numFmtId="0" xfId="0" applyAlignment="1" applyBorder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23" fillId="0" fontId="4" numFmtId="0" xfId="0" applyAlignment="1" applyBorder="1" applyFont="1">
      <alignment horizontal="center" shrinkToFit="0" vertical="center" wrapText="0"/>
    </xf>
    <xf borderId="9" fillId="2" fontId="4" numFmtId="0" xfId="0" applyAlignment="1" applyBorder="1" applyFont="1">
      <alignment horizontal="center" shrinkToFit="0" vertical="center" wrapText="0"/>
    </xf>
    <xf borderId="24" fillId="2" fontId="20" numFmtId="0" xfId="0" applyAlignment="1" applyBorder="1" applyFont="1">
      <alignment horizontal="center" shrinkToFit="0" vertical="center" wrapText="0"/>
    </xf>
    <xf borderId="17" fillId="2" fontId="20" numFmtId="49" xfId="0" applyAlignment="1" applyBorder="1" applyFont="1" applyNumberFormat="1">
      <alignment horizontal="center" shrinkToFit="0" vertical="center" wrapText="0"/>
    </xf>
    <xf borderId="17" fillId="2" fontId="20" numFmtId="0" xfId="0" applyAlignment="1" applyBorder="1" applyFont="1">
      <alignment horizontal="center" shrinkToFit="0" vertical="center" wrapText="0"/>
    </xf>
    <xf borderId="17" fillId="2" fontId="20" numFmtId="165" xfId="0" applyAlignment="1" applyBorder="1" applyFont="1" applyNumberFormat="1">
      <alignment horizontal="center" shrinkToFit="0" vertical="center" wrapText="0"/>
    </xf>
    <xf borderId="17" fillId="2" fontId="20" numFmtId="165" xfId="0" applyAlignment="1" applyBorder="1" applyFont="1" applyNumberFormat="1">
      <alignment horizontal="center" readingOrder="0" shrinkToFit="0" vertical="center" wrapText="0"/>
    </xf>
    <xf borderId="17" fillId="0" fontId="4" numFmtId="0" xfId="0" applyAlignment="1" applyBorder="1" applyFont="1">
      <alignment horizontal="center" readingOrder="0" shrinkToFit="0" vertical="center" wrapText="1"/>
    </xf>
    <xf borderId="17" fillId="5" fontId="20" numFmtId="0" xfId="0" applyAlignment="1" applyBorder="1" applyFont="1">
      <alignment horizontal="center" readingOrder="0" shrinkToFit="0" vertical="center" wrapText="0"/>
    </xf>
    <xf borderId="0" fillId="0" fontId="21" numFmtId="0" xfId="0" applyAlignment="1" applyFont="1">
      <alignment horizontal="center" vertical="center"/>
    </xf>
    <xf borderId="13" fillId="2" fontId="4" numFmtId="165" xfId="0" applyAlignment="1" applyBorder="1" applyFont="1" applyNumberFormat="1">
      <alignment horizontal="center" readingOrder="0" shrinkToFit="0" vertical="center" wrapText="0"/>
    </xf>
    <xf borderId="9" fillId="2" fontId="20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10" fillId="2" fontId="20" numFmtId="49" xfId="0" applyAlignment="1" applyBorder="1" applyFont="1" applyNumberFormat="1">
      <alignment horizontal="center" shrinkToFit="0" vertical="center" wrapText="0"/>
    </xf>
    <xf borderId="10" fillId="2" fontId="20" numFmtId="0" xfId="0" applyAlignment="1" applyBorder="1" applyFont="1">
      <alignment horizontal="center" readingOrder="0" shrinkToFit="0" vertical="center" wrapText="0"/>
    </xf>
    <xf borderId="0" fillId="0" fontId="22" numFmtId="0" xfId="0" applyAlignment="1" applyFont="1">
      <alignment horizontal="center" vertical="center"/>
    </xf>
    <xf borderId="10" fillId="2" fontId="20" numFmtId="0" xfId="0" applyAlignment="1" applyBorder="1" applyFont="1">
      <alignment horizontal="center" shrinkToFit="0" vertical="center" wrapText="0"/>
    </xf>
    <xf borderId="10" fillId="2" fontId="20" numFmtId="165" xfId="0" applyAlignment="1" applyBorder="1" applyFont="1" applyNumberFormat="1">
      <alignment horizontal="center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10" fillId="2" fontId="20" numFmtId="165" xfId="0" applyAlignment="1" applyBorder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25" fillId="2" fontId="20" numFmtId="0" xfId="0" applyAlignment="1" applyBorder="1" applyFont="1">
      <alignment horizontal="center" readingOrder="0" shrinkToFit="0" vertical="center" wrapText="0"/>
    </xf>
    <xf borderId="0" fillId="0" fontId="23" numFmtId="167" xfId="0" applyAlignment="1" applyFont="1" applyNumberFormat="1">
      <alignment horizontal="center" readingOrder="0" shrinkToFit="0" vertical="center" wrapText="0"/>
    </xf>
    <xf borderId="0" fillId="0" fontId="23" numFmtId="166" xfId="0" applyAlignment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0"/>
    </xf>
    <xf borderId="10" fillId="10" fontId="15" numFmtId="0" xfId="0" applyAlignment="1" applyBorder="1" applyFont="1">
      <alignment horizontal="center" readingOrder="0" shrinkToFit="0" vertical="center" wrapText="0"/>
    </xf>
    <xf borderId="10" fillId="2" fontId="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4" numFmtId="166" xfId="0" applyAlignment="1" applyFont="1" applyNumberForma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4" numFmtId="3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26" fillId="0" fontId="1" numFmtId="0" xfId="0" applyAlignment="1" applyBorder="1" applyFont="1">
      <alignment horizontal="center" readingOrder="0" shrinkToFit="0" vertical="center" wrapText="0"/>
    </xf>
    <xf borderId="26" fillId="0" fontId="4" numFmtId="0" xfId="0" applyAlignment="1" applyBorder="1" applyFont="1">
      <alignment horizontal="center" readingOrder="0" shrinkToFit="0" vertical="center" wrapText="0"/>
    </xf>
    <xf borderId="26" fillId="0" fontId="1" numFmtId="49" xfId="0" applyAlignment="1" applyBorder="1" applyFont="1" applyNumberFormat="1">
      <alignment horizontal="center" readingOrder="0"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6" fillId="0" fontId="4" numFmtId="0" xfId="0" applyAlignment="1" applyBorder="1" applyFont="1">
      <alignment horizontal="center" readingOrder="0" shrinkToFit="0" vertical="center" wrapText="0"/>
    </xf>
    <xf borderId="26" fillId="0" fontId="1" numFmtId="0" xfId="0" applyAlignment="1" applyBorder="1" applyFont="1">
      <alignment horizontal="center" readingOrder="0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26" fillId="0" fontId="1" numFmtId="166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3" fontId="25" numFmtId="0" xfId="0" applyAlignment="1" applyFont="1">
      <alignment horizontal="center" shrinkToFit="0" vertical="center" wrapText="0"/>
    </xf>
    <xf borderId="26" fillId="0" fontId="4" numFmtId="49" xfId="0" applyAlignment="1" applyBorder="1" applyFont="1" applyNumberFormat="1">
      <alignment horizontal="center" readingOrder="0" shrinkToFit="0" vertical="center" wrapText="0"/>
    </xf>
    <xf borderId="26" fillId="0" fontId="1" numFmtId="167" xfId="0" applyAlignment="1" applyBorder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23" numFmtId="166" xfId="0" applyAlignment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23" numFmtId="167" xfId="0" applyAlignment="1" applyFont="1" applyNumberFormat="1">
      <alignment horizontal="center" readingOrder="0" shrinkToFit="0" vertical="center" wrapText="0"/>
    </xf>
    <xf borderId="0" fillId="0" fontId="3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7" fillId="2" fontId="33" numFmtId="0" xfId="0" applyAlignment="1" applyBorder="1" applyFont="1">
      <alignment horizontal="center" readingOrder="0" shrinkToFit="0" vertical="center" wrapText="0"/>
    </xf>
    <xf borderId="28" fillId="15" fontId="33" numFmtId="0" xfId="0" applyAlignment="1" applyBorder="1" applyFill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29" fillId="15" fontId="33" numFmtId="0" xfId="0" applyAlignment="1" applyBorder="1" applyFont="1">
      <alignment horizontal="center" readingOrder="0" shrinkToFit="0" vertical="center" wrapText="0"/>
    </xf>
    <xf borderId="0" fillId="15" fontId="3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6" fillId="0" fontId="1" numFmtId="0" xfId="0" applyAlignment="1" applyBorder="1" applyFont="1">
      <alignment horizontal="center" readingOrder="0" shrinkToFit="0" vertical="center" wrapText="0"/>
    </xf>
    <xf borderId="26" fillId="0" fontId="1" numFmtId="166" xfId="0" applyAlignment="1" applyBorder="1" applyFont="1" applyNumberFormat="1">
      <alignment horizontal="center" readingOrder="0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26" fillId="0" fontId="35" numFmtId="0" xfId="0" applyAlignment="1" applyBorder="1" applyFont="1">
      <alignment horizontal="center" readingOrder="0" shrinkToFit="0" vertical="center" wrapText="0"/>
    </xf>
    <xf borderId="2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15" fontId="2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30" fillId="0" fontId="36" numFmtId="0" xfId="0" applyAlignment="1" applyBorder="1" applyFont="1">
      <alignment horizontal="center" readingOrder="0" shrinkToFit="0" vertical="center" wrapText="0"/>
    </xf>
    <xf borderId="31" fillId="0" fontId="36" numFmtId="49" xfId="0" applyAlignment="1" applyBorder="1" applyFont="1" applyNumberFormat="1">
      <alignment horizontal="center" readingOrder="0" shrinkToFit="0" vertical="center" wrapText="0"/>
    </xf>
    <xf borderId="31" fillId="0" fontId="36" numFmtId="0" xfId="0" applyAlignment="1" applyBorder="1" applyFont="1">
      <alignment horizontal="center" readingOrder="0" shrinkToFit="0" vertical="center" wrapText="0"/>
    </xf>
    <xf borderId="31" fillId="0" fontId="36" numFmtId="0" xfId="0" applyAlignment="1" applyBorder="1" applyFont="1">
      <alignment horizontal="center" readingOrder="0" shrinkToFit="0" vertical="center" wrapText="0"/>
    </xf>
    <xf borderId="32" fillId="0" fontId="36" numFmtId="0" xfId="0" applyAlignment="1" applyBorder="1" applyFont="1">
      <alignment horizontal="center" readingOrder="0" shrinkToFit="0" vertical="center" wrapText="0"/>
    </xf>
    <xf borderId="0" fillId="0" fontId="4" numFmtId="0" xfId="0" applyFont="1"/>
    <xf borderId="33" fillId="0" fontId="36" numFmtId="49" xfId="0" applyAlignment="1" applyBorder="1" applyFont="1" applyNumberFormat="1">
      <alignment horizontal="center" readingOrder="0" shrinkToFit="0" vertical="center" wrapText="0"/>
    </xf>
    <xf borderId="19" fillId="0" fontId="36" numFmtId="49" xfId="0" applyAlignment="1" applyBorder="1" applyFont="1" applyNumberFormat="1">
      <alignment horizontal="center" readingOrder="0" shrinkToFit="0" vertical="center" wrapText="0"/>
    </xf>
    <xf borderId="19" fillId="0" fontId="36" numFmtId="0" xfId="0" applyAlignment="1" applyBorder="1" applyFont="1">
      <alignment horizontal="center" shrinkToFit="0" vertical="center" wrapText="0"/>
    </xf>
    <xf borderId="19" fillId="0" fontId="36" numFmtId="0" xfId="0" applyAlignment="1" applyBorder="1" applyFont="1">
      <alignment horizontal="center" readingOrder="0" shrinkToFit="0" vertical="center" wrapText="0"/>
    </xf>
    <xf borderId="19" fillId="0" fontId="36" numFmtId="0" xfId="0" applyAlignment="1" applyBorder="1" applyFont="1">
      <alignment horizontal="center" readingOrder="0" shrinkToFit="0" vertical="center" wrapText="0"/>
    </xf>
    <xf borderId="19" fillId="0" fontId="36" numFmtId="0" xfId="0" applyAlignment="1" applyBorder="1" applyFont="1">
      <alignment horizontal="center" readingOrder="0" shrinkToFit="0" vertical="center" wrapText="0"/>
    </xf>
    <xf borderId="19" fillId="0" fontId="36" numFmtId="0" xfId="0" applyAlignment="1" applyBorder="1" applyFont="1">
      <alignment horizontal="center" readingOrder="0" shrinkToFit="0" vertical="center" wrapText="0"/>
    </xf>
    <xf borderId="19" fillId="0" fontId="36" numFmtId="49" xfId="0" applyAlignment="1" applyBorder="1" applyFont="1" applyNumberFormat="1">
      <alignment horizontal="center" readingOrder="0" shrinkToFit="0" vertical="center" wrapText="0"/>
    </xf>
    <xf borderId="34" fillId="0" fontId="36" numFmtId="0" xfId="0" applyAlignment="1" applyBorder="1" applyFon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6" numFmtId="49" xfId="0" applyAlignment="1" applyFont="1" applyNumberForma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6" numFmtId="166" xfId="0" applyAlignment="1" applyFont="1" applyNumberForma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35" fillId="0" fontId="36" numFmtId="49" xfId="0" applyAlignment="1" applyBorder="1" applyFont="1" applyNumberFormat="1">
      <alignment horizontal="center" readingOrder="0" shrinkToFit="0" vertical="center" wrapText="0"/>
    </xf>
    <xf borderId="36" fillId="0" fontId="36" numFmtId="49" xfId="0" applyAlignment="1" applyBorder="1" applyFont="1" applyNumberFormat="1">
      <alignment horizontal="center" readingOrder="0" shrinkToFit="0" vertical="center" wrapText="0"/>
    </xf>
    <xf borderId="36" fillId="0" fontId="36" numFmtId="0" xfId="0" applyAlignment="1" applyBorder="1" applyFont="1">
      <alignment horizontal="center" shrinkToFit="0" vertical="center" wrapText="0"/>
    </xf>
    <xf borderId="36" fillId="0" fontId="36" numFmtId="0" xfId="0" applyAlignment="1" applyBorder="1" applyFont="1">
      <alignment horizontal="center" readingOrder="0" shrinkToFit="0" vertical="center" wrapText="0"/>
    </xf>
    <xf borderId="36" fillId="0" fontId="36" numFmtId="0" xfId="0" applyAlignment="1" applyBorder="1" applyFont="1">
      <alignment horizontal="center" readingOrder="0" shrinkToFit="0" vertical="center" wrapText="0"/>
    </xf>
    <xf borderId="36" fillId="0" fontId="36" numFmtId="0" xfId="0" applyAlignment="1" applyBorder="1" applyFont="1">
      <alignment horizontal="center" readingOrder="0" shrinkToFit="0" vertical="center" wrapText="0"/>
    </xf>
    <xf borderId="36" fillId="0" fontId="36" numFmtId="0" xfId="0" applyAlignment="1" applyBorder="1" applyFont="1">
      <alignment horizontal="center" readingOrder="0" shrinkToFit="0" vertical="center" wrapText="0"/>
    </xf>
    <xf borderId="36" fillId="0" fontId="36" numFmtId="49" xfId="0" applyAlignment="1" applyBorder="1" applyFont="1" applyNumberFormat="1">
      <alignment horizontal="center" readingOrder="0" shrinkToFit="0" vertical="center" wrapText="0"/>
    </xf>
    <xf borderId="37" fillId="0" fontId="36" numFmtId="0" xfId="0" applyAlignment="1" applyBorder="1" applyFont="1">
      <alignment horizontal="center" readingOrder="0" shrinkToFit="0" vertical="center" wrapText="0"/>
    </xf>
    <xf borderId="38" fillId="12" fontId="36" numFmtId="49" xfId="0" applyAlignment="1" applyBorder="1" applyFont="1" applyNumberFormat="1">
      <alignment horizontal="center" readingOrder="0" shrinkToFit="0" vertical="center" wrapText="0"/>
    </xf>
    <xf borderId="3" fillId="12" fontId="36" numFmtId="49" xfId="0" applyAlignment="1" applyBorder="1" applyFont="1" applyNumberFormat="1">
      <alignment horizontal="center" readingOrder="0" shrinkToFit="0" vertical="center" wrapText="0"/>
    </xf>
    <xf borderId="3" fillId="12" fontId="36" numFmtId="0" xfId="0" applyAlignment="1" applyBorder="1" applyFont="1">
      <alignment horizontal="center" shrinkToFit="0" vertical="center" wrapText="0"/>
    </xf>
    <xf borderId="3" fillId="12" fontId="36" numFmtId="0" xfId="0" applyAlignment="1" applyBorder="1" applyFont="1">
      <alignment horizontal="center" readingOrder="0" shrinkToFit="0" vertical="center" wrapText="0"/>
    </xf>
    <xf borderId="3" fillId="12" fontId="36" numFmtId="0" xfId="0" applyAlignment="1" applyBorder="1" applyFont="1">
      <alignment horizontal="center" readingOrder="0" shrinkToFit="0" vertical="center" wrapText="0"/>
    </xf>
    <xf borderId="3" fillId="12" fontId="36" numFmtId="0" xfId="0" applyAlignment="1" applyBorder="1" applyFont="1">
      <alignment horizontal="center" readingOrder="0" shrinkToFit="0" vertical="center" wrapText="0"/>
    </xf>
    <xf borderId="39" fillId="12" fontId="36" numFmtId="0" xfId="0" applyAlignment="1" applyBorder="1" applyFont="1">
      <alignment horizontal="center" readingOrder="0" shrinkToFit="0" vertical="center" wrapText="0"/>
    </xf>
    <xf borderId="40" fillId="12" fontId="36" numFmtId="49" xfId="0" applyAlignment="1" applyBorder="1" applyFont="1" applyNumberFormat="1">
      <alignment horizontal="center" readingOrder="0" shrinkToFit="0" vertical="center" wrapText="0"/>
    </xf>
    <xf borderId="0" fillId="12" fontId="36" numFmtId="49" xfId="0" applyAlignment="1" applyFont="1" applyNumberFormat="1">
      <alignment horizontal="center" readingOrder="0" shrinkToFit="0" vertical="center" wrapText="0"/>
    </xf>
    <xf borderId="0" fillId="12" fontId="36" numFmtId="0" xfId="0" applyAlignment="1" applyFont="1">
      <alignment horizontal="center" readingOrder="0" shrinkToFit="0" vertical="center" wrapText="0"/>
    </xf>
    <xf borderId="0" fillId="12" fontId="36" numFmtId="0" xfId="0" applyAlignment="1" applyFont="1">
      <alignment horizontal="center" readingOrder="0" shrinkToFit="0" vertical="center" wrapText="0"/>
    </xf>
    <xf borderId="0" fillId="12" fontId="36" numFmtId="0" xfId="0" applyAlignment="1" applyFont="1">
      <alignment horizontal="center" readingOrder="0" shrinkToFit="0" vertical="center" wrapText="0"/>
    </xf>
    <xf borderId="41" fillId="12" fontId="36" numFmtId="0" xfId="0" applyAlignment="1" applyBorder="1" applyFont="1">
      <alignment horizontal="center" readingOrder="0"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42" fillId="12" fontId="36" numFmtId="49" xfId="0" applyAlignment="1" applyBorder="1" applyFont="1" applyNumberFormat="1">
      <alignment horizontal="center" readingOrder="0" shrinkToFit="0" vertical="center" wrapText="0"/>
    </xf>
    <xf borderId="43" fillId="12" fontId="36" numFmtId="49" xfId="0" applyAlignment="1" applyBorder="1" applyFont="1" applyNumberFormat="1">
      <alignment horizontal="center" readingOrder="0" shrinkToFit="0" vertical="center" wrapText="0"/>
    </xf>
    <xf borderId="26" fillId="0" fontId="4" numFmtId="0" xfId="0" applyAlignment="1" applyBorder="1" applyFont="1">
      <alignment horizontal="center" readingOrder="0" shrinkToFit="0" vertical="center" wrapText="0"/>
    </xf>
    <xf borderId="43" fillId="12" fontId="36" numFmtId="0" xfId="0" applyAlignment="1" applyBorder="1" applyFont="1">
      <alignment horizontal="center" readingOrder="0" shrinkToFit="0" vertical="center" wrapText="0"/>
    </xf>
    <xf borderId="43" fillId="12" fontId="36" numFmtId="0" xfId="0" applyAlignment="1" applyBorder="1" applyFont="1">
      <alignment horizontal="center" readingOrder="0" shrinkToFit="0" vertical="center" wrapText="0"/>
    </xf>
    <xf borderId="43" fillId="12" fontId="36" numFmtId="0" xfId="0" applyAlignment="1" applyBorder="1" applyFont="1">
      <alignment horizontal="center" readingOrder="0" shrinkToFit="0" vertical="center" wrapText="0"/>
    </xf>
    <xf borderId="44" fillId="12" fontId="36" numFmtId="0" xfId="0" applyAlignment="1" applyBorder="1" applyFont="1">
      <alignment horizontal="center" readingOrder="0" shrinkToFit="0" vertical="center" wrapText="0"/>
    </xf>
    <xf borderId="45" fillId="0" fontId="36" numFmtId="49" xfId="0" applyAlignment="1" applyBorder="1" applyFont="1" applyNumberFormat="1">
      <alignment horizontal="center" readingOrder="0" shrinkToFit="0" vertical="center" wrapText="0"/>
    </xf>
    <xf borderId="16" fillId="0" fontId="36" numFmtId="49" xfId="0" applyAlignment="1" applyBorder="1" applyFont="1" applyNumberFormat="1">
      <alignment horizontal="center" readingOrder="0" shrinkToFit="0" vertical="center" wrapText="0"/>
    </xf>
    <xf borderId="16" fillId="0" fontId="36" numFmtId="0" xfId="0" applyAlignment="1" applyBorder="1" applyFont="1">
      <alignment horizontal="center" shrinkToFit="0" vertical="center" wrapText="0"/>
    </xf>
    <xf borderId="16" fillId="0" fontId="36" numFmtId="0" xfId="0" applyAlignment="1" applyBorder="1" applyFont="1">
      <alignment horizontal="center" readingOrder="0" shrinkToFit="0" vertical="center" wrapText="0"/>
    </xf>
    <xf borderId="16" fillId="0" fontId="36" numFmtId="0" xfId="0" applyAlignment="1" applyBorder="1" applyFont="1">
      <alignment horizontal="center" readingOrder="0" shrinkToFit="0" vertical="center" wrapText="0"/>
    </xf>
    <xf borderId="16" fillId="0" fontId="36" numFmtId="0" xfId="0" applyAlignment="1" applyBorder="1" applyFont="1">
      <alignment horizontal="center" readingOrder="0" shrinkToFit="0" vertical="center" wrapText="0"/>
    </xf>
    <xf borderId="16" fillId="0" fontId="36" numFmtId="0" xfId="0" applyAlignment="1" applyBorder="1" applyFont="1">
      <alignment horizontal="center" readingOrder="0" shrinkToFit="0" vertical="center" wrapText="0"/>
    </xf>
    <xf borderId="16" fillId="0" fontId="36" numFmtId="49" xfId="0" applyAlignment="1" applyBorder="1" applyFont="1" applyNumberFormat="1">
      <alignment horizontal="center" readingOrder="0" shrinkToFit="0" vertical="center" wrapText="0"/>
    </xf>
    <xf borderId="46" fillId="0" fontId="3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9" fillId="0" fontId="3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6" fillId="0" fontId="1" numFmtId="167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26" fillId="0" fontId="4" numFmtId="49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0" fillId="2" fontId="4" numFmtId="0" xfId="0" applyAlignment="1" applyFont="1">
      <alignment horizontal="center"/>
    </xf>
    <xf borderId="0" fillId="0" fontId="37" numFmtId="0" xfId="0" applyAlignment="1" applyFont="1">
      <alignment horizontal="center" vertical="center"/>
    </xf>
    <xf borderId="0" fillId="2" fontId="37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vertical="center"/>
    </xf>
    <xf borderId="0" fillId="0" fontId="37" numFmtId="0" xfId="0" applyAlignment="1" applyFont="1">
      <alignment horizontal="center" readingOrder="0" shrinkToFit="0" vertical="center" wrapText="0"/>
    </xf>
    <xf borderId="0" fillId="2" fontId="37" numFmtId="0" xfId="0" applyAlignment="1" applyFont="1">
      <alignment horizontal="center" readingOrder="0" shrinkToFit="0" vertical="center" wrapText="0"/>
    </xf>
    <xf borderId="19" fillId="0" fontId="36" numFmtId="0" xfId="0" applyAlignment="1" applyBorder="1" applyFont="1">
      <alignment horizontal="center" readingOrder="0" shrinkToFit="0" vertical="center" wrapText="0"/>
    </xf>
    <xf borderId="0" fillId="0" fontId="37" numFmtId="49" xfId="0" applyAlignment="1" applyFont="1" applyNumberForma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7" numFmtId="166" xfId="0" applyAlignment="1" applyFont="1" applyNumberFormat="1">
      <alignment horizontal="center" readingOrder="0" shrinkToFit="0" vertical="center" wrapText="0"/>
    </xf>
    <xf borderId="0" fillId="0" fontId="37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37" numFmtId="3" xfId="0" applyAlignment="1" applyFont="1" applyNumberFormat="1">
      <alignment horizontal="center" readingOrder="0" shrinkToFit="0" vertical="center" wrapText="0"/>
    </xf>
    <xf borderId="26" fillId="0" fontId="1" numFmtId="0" xfId="0" applyAlignment="1" applyBorder="1" applyFont="1">
      <alignment horizontal="center" readingOrder="0" shrinkToFit="0" vertical="center" wrapText="0"/>
    </xf>
    <xf borderId="0" fillId="2" fontId="4" numFmtId="49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37" numFmtId="165" xfId="0" applyAlignment="1" applyFont="1" applyNumberForma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7" numFmtId="165" xfId="0" applyAlignment="1" applyFont="1" applyNumberFormat="1">
      <alignment horizontal="center" readingOrder="0" shrinkToFit="0" vertical="center" wrapText="0"/>
    </xf>
    <xf borderId="0" fillId="0" fontId="37" numFmtId="49" xfId="0" applyAlignment="1" applyFont="1" applyNumberFormat="1">
      <alignment horizontal="center" readingOrder="0" shrinkToFit="0" vertical="center" wrapText="0"/>
    </xf>
    <xf borderId="0" fillId="16" fontId="37" numFmtId="0" xfId="0" applyAlignment="1" applyFill="1" applyFont="1">
      <alignment horizontal="center" vertical="center"/>
    </xf>
    <xf borderId="0" fillId="16" fontId="6" numFmtId="0" xfId="0" applyAlignment="1" applyFon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7" numFmtId="167" xfId="0" applyAlignment="1" applyFont="1" applyNumberFormat="1">
      <alignment horizontal="center" readingOrder="0" shrinkToFit="0" vertical="center" wrapText="0"/>
    </xf>
    <xf borderId="47" fillId="0" fontId="36" numFmtId="49" xfId="0" applyAlignment="1" applyBorder="1" applyFont="1" applyNumberFormat="1">
      <alignment horizontal="center" readingOrder="0" shrinkToFit="0" vertical="center" wrapText="0"/>
    </xf>
    <xf borderId="47" fillId="0" fontId="36" numFmtId="0" xfId="0" applyAlignment="1" applyBorder="1" applyFont="1">
      <alignment horizontal="center" readingOrder="0" shrinkToFit="0" vertical="center" wrapText="0"/>
    </xf>
    <xf borderId="47" fillId="0" fontId="36" numFmtId="0" xfId="0" applyAlignment="1" applyBorder="1" applyFont="1">
      <alignment horizontal="center" readingOrder="0" shrinkToFit="0" vertical="center" wrapText="0"/>
    </xf>
    <xf borderId="47" fillId="0" fontId="36" numFmtId="0" xfId="0" applyAlignment="1" applyBorder="1" applyFont="1">
      <alignment horizontal="center" readingOrder="0" shrinkToFit="0" vertical="center" wrapText="0"/>
    </xf>
    <xf borderId="47" fillId="0" fontId="36" numFmtId="0" xfId="0" applyAlignment="1" applyBorder="1" applyFont="1">
      <alignment horizontal="center" readingOrder="0" shrinkToFit="0" vertical="center" wrapText="0"/>
    </xf>
    <xf borderId="47" fillId="0" fontId="36" numFmtId="49" xfId="0" applyAlignment="1" applyBorder="1" applyFont="1" applyNumberFormat="1">
      <alignment horizontal="center" readingOrder="0" shrinkToFit="0" vertical="center" wrapText="0"/>
    </xf>
    <xf borderId="48" fillId="0" fontId="36" numFmtId="0" xfId="0" applyAlignment="1" applyBorder="1" applyFont="1">
      <alignment horizontal="center" readingOrder="0" shrinkToFit="0" vertical="center" wrapText="0"/>
    </xf>
    <xf borderId="0" fillId="15" fontId="38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39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49" fillId="17" fontId="36" numFmtId="0" xfId="0" applyAlignment="1" applyBorder="1" applyFill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0" fillId="0" fontId="38" numFmtId="0" xfId="0" applyAlignment="1" applyFont="1">
      <alignment horizontal="center" readingOrder="0" shrinkToFit="0" vertical="center" wrapText="0"/>
    </xf>
    <xf borderId="0" fillId="0" fontId="38" numFmtId="49" xfId="0" applyAlignment="1" applyFont="1" applyNumberFormat="1">
      <alignment horizontal="center"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49" fillId="18" fontId="36" numFmtId="0" xfId="0" applyAlignment="1" applyBorder="1" applyFill="1" applyFont="1">
      <alignment horizontal="center" readingOrder="0" vertical="center"/>
    </xf>
    <xf borderId="0" fillId="0" fontId="38" numFmtId="166" xfId="0" applyAlignment="1" applyFont="1" applyNumberFormat="1">
      <alignment horizontal="center" readingOrder="0"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2" fontId="38" numFmtId="0" xfId="0" applyAlignment="1" applyFont="1">
      <alignment horizontal="center" vertical="center"/>
    </xf>
    <xf borderId="0" fillId="0" fontId="1" numFmtId="0" xfId="0" applyFont="1"/>
    <xf borderId="0" fillId="0" fontId="38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center" readingOrder="0"/>
    </xf>
    <xf borderId="0" fillId="0" fontId="4" numFmtId="0" xfId="0" applyAlignment="1" applyFont="1">
      <alignment shrinkToFit="0" vertical="center" wrapText="0"/>
    </xf>
    <xf borderId="0" fillId="18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18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9" numFmtId="0" xfId="0" applyAlignment="1" applyFont="1">
      <alignment horizontal="center" readingOrder="0" shrinkToFit="0" vertical="center" wrapText="0"/>
    </xf>
    <xf borderId="0" fillId="0" fontId="39" numFmtId="49" xfId="0" applyAlignment="1" applyFont="1" applyNumberFormat="1">
      <alignment horizontal="center" readingOrder="0" shrinkToFit="0" vertical="center" wrapText="0"/>
    </xf>
    <xf borderId="0" fillId="0" fontId="39" numFmtId="0" xfId="0" applyAlignment="1" applyFont="1">
      <alignment horizontal="center" readingOrder="0" shrinkToFit="0" vertical="center" wrapText="0"/>
    </xf>
    <xf borderId="0" fillId="2" fontId="39" numFmtId="0" xfId="0" applyAlignment="1" applyFont="1">
      <alignment horizontal="center" vertical="center"/>
    </xf>
    <xf borderId="0" fillId="0" fontId="38" numFmtId="49" xfId="0" applyAlignment="1" applyFont="1" applyNumberFormat="1">
      <alignment horizontal="center"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8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0" fontId="38" numFmtId="167" xfId="0" applyAlignment="1" applyFont="1" applyNumberFormat="1">
      <alignment horizontal="center" shrinkToFit="0" vertical="center" wrapText="0"/>
    </xf>
    <xf borderId="0" fillId="0" fontId="38" numFmtId="3" xfId="0" applyAlignment="1" applyFont="1" applyNumberFormat="1">
      <alignment horizontal="center" readingOrder="0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0" fontId="38" numFmtId="166" xfId="0" applyAlignment="1" applyFont="1" applyNumberFormat="1">
      <alignment horizontal="center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8" numFmtId="166" xfId="0" applyAlignment="1" applyFont="1" applyNumberFormat="1">
      <alignment horizontal="center" readingOrder="0" shrinkToFit="0" vertical="center" wrapText="0"/>
    </xf>
    <xf borderId="0" fillId="0" fontId="38" numFmtId="167" xfId="0" applyAlignment="1" applyFont="1" applyNumberFormat="1">
      <alignment horizontal="center" readingOrder="0" shrinkToFit="0" vertical="center" wrapText="0"/>
    </xf>
    <xf borderId="0" fillId="2" fontId="38" numFmtId="0" xfId="0" applyAlignment="1" applyFont="1">
      <alignment horizontal="center" vertical="center"/>
    </xf>
    <xf borderId="0" fillId="2" fontId="38" numFmtId="0" xfId="0" applyAlignment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 readingOrder="0" shrinkToFit="0" vertical="center" wrapText="0"/>
    </xf>
    <xf borderId="0" fillId="0" fontId="39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2" fontId="1" numFmtId="0" xfId="0" applyFont="1"/>
    <xf borderId="26" fillId="0" fontId="1" numFmtId="0" xfId="0" applyAlignment="1" applyBorder="1" applyFont="1">
      <alignment readingOrder="0" shrinkToFit="0" vertical="center" wrapText="0"/>
    </xf>
    <xf borderId="26" fillId="0" fontId="4" numFmtId="0" xfId="0" applyAlignment="1" applyBorder="1" applyFont="1">
      <alignment horizontal="center" readingOrder="0" shrinkToFit="0" vertical="center" wrapText="0"/>
    </xf>
    <xf borderId="26" fillId="0" fontId="1" numFmtId="49" xfId="0" applyAlignment="1" applyBorder="1" applyFont="1" applyNumberFormat="1">
      <alignment horizontal="center" readingOrder="0" shrinkToFit="0" vertical="center" wrapText="0"/>
    </xf>
    <xf borderId="26" fillId="0" fontId="4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93F69"/>
          <bgColor rgb="FF093F6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93F69"/>
        </left>
        <right style="thin">
          <color rgb="FF093F69"/>
        </right>
        <top style="thin">
          <color rgb="FF093F69"/>
        </top>
        <bottom style="thin">
          <color rgb="FF093F69"/>
        </bottom>
      </border>
    </dxf>
    <dxf>
      <font/>
      <fill>
        <patternFill patternType="solid">
          <fgColor rgb="FF04354D"/>
          <bgColor rgb="FF04354D"/>
        </patternFill>
      </fill>
      <border/>
    </dxf>
  </dxfs>
  <tableStyles count="33">
    <tableStyle count="4" pivot="0" name="Procs. Licitatórios (sem Cont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tos - PP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dyscan (statu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tos - PPM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eira Raio-x (statu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órticos (statu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ns de Serviço - Bodysc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ns de Serviço - Pórt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PHAEL PRODUÇÃO Ordens de Ser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ns de Serviço - Estei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eiras desafet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02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02202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022024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022024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022024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882025 (MANUT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882025 (PEÇA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CT 1332025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iro Geral-style 1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2162175</xdr:colOff>
      <xdr:row>0</xdr:row>
      <xdr:rowOff>57150</xdr:rowOff>
    </xdr:from>
    <xdr:ext cx="4495800" cy="9429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1609725</xdr:colOff>
      <xdr:row>0</xdr:row>
      <xdr:rowOff>85725</xdr:rowOff>
    </xdr:from>
    <xdr:ext cx="3886200" cy="9429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1543050</xdr:colOff>
      <xdr:row>0</xdr:row>
      <xdr:rowOff>133350</xdr:rowOff>
    </xdr:from>
    <xdr:ext cx="4695825" cy="9620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1952625</xdr:colOff>
      <xdr:row>0</xdr:row>
      <xdr:rowOff>66675</xdr:rowOff>
    </xdr:from>
    <xdr:ext cx="5314950" cy="10858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5191125" cy="10953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85725</xdr:rowOff>
    </xdr:from>
    <xdr:ext cx="5162550" cy="1095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85725</xdr:rowOff>
    </xdr:from>
    <xdr:ext cx="5162550" cy="1095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85725</xdr:rowOff>
    </xdr:from>
    <xdr:ext cx="5162550" cy="1095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1952625</xdr:colOff>
      <xdr:row>0</xdr:row>
      <xdr:rowOff>66675</xdr:rowOff>
    </xdr:from>
    <xdr:ext cx="5314950" cy="10858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0</xdr:row>
      <xdr:rowOff>114300</xdr:rowOff>
    </xdr:from>
    <xdr:ext cx="3381375" cy="733425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66675</xdr:rowOff>
    </xdr:from>
    <xdr:ext cx="3381375" cy="733425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0</xdr:row>
      <xdr:rowOff>28575</xdr:rowOff>
    </xdr:from>
    <xdr:ext cx="5248275" cy="933450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P9" displayName="CONTRATOS_ATIVOS_" name="CONTRATOS_ATIVOS_" id="3">
  <tableColumns count="16">
    <tableColumn name="CONTRATO" id="1"/>
    <tableColumn name="VIGÊNCIA" id="2"/>
    <tableColumn name="PROCESSO &quot;mãe&quot; (SEI ou físico)" id="3"/>
    <tableColumn name="TIPO (OS/OF)" id="4"/>
    <tableColumn name="RECURSO FINANCEIRO" id="5"/>
    <tableColumn name="VALOR GLOBAL (atualizado)" id="6"/>
    <tableColumn name="VALOR MENSAL" id="7"/>
    <tableColumn name="OBJETO" id="8"/>
    <tableColumn name="QUANTIDADE" id="9"/>
    <tableColumn name="EXECUÇÃO" id="10"/>
    <tableColumn name="PENDÊNCIA (saldo)" id="11"/>
    <tableColumn name="PRAZO DE ENTREGA (previsão)" id="12"/>
    <tableColumn name="STATUS do Proc. Licitatório" id="13"/>
    <tableColumn name="LOCALIZAÇÃO" id="14"/>
    <tableColumn name="CONSULTA" id="15"/>
    <tableColumn name="RESPONSÁVEL" id="16"/>
  </tableColumns>
  <tableStyleInfo name="Contratos - PPMA-style" showColumnStripes="0" showFirstColumn="1" showLastColumn="1" showRowStripes="1"/>
</table>
</file>

<file path=xl/tables/table2.xml><?xml version="1.0" encoding="utf-8"?>
<table xmlns="http://schemas.openxmlformats.org/spreadsheetml/2006/main" ref="A16:P31" displayName="CONTRATOS_FINALIZADOS_" name="CONTRATOS_FINALIZADOS_" id="4">
  <tableColumns count="16">
    <tableColumn name="CONTRATO" id="1"/>
    <tableColumn name="VIGÊNCIA" id="2"/>
    <tableColumn name="PROCESSO &quot;mãe&quot; (SEI ou físico)" id="3"/>
    <tableColumn name="TIPO (OS/OF)" id="4"/>
    <tableColumn name="RECURSO FINANCEIRO" id="5"/>
    <tableColumn name="VALOR GLOBAL (atualizado)" id="6"/>
    <tableColumn name="VALOR MENSAL" id="7"/>
    <tableColumn name="OBJETO" id="8"/>
    <tableColumn name="QUANTIDADE" id="9"/>
    <tableColumn name="EXECUÇÃO" id="10"/>
    <tableColumn name="PENDÊNCIA (saldo)" id="11"/>
    <tableColumn name="PRAZO DE ENTREGA" id="12"/>
    <tableColumn name="STATUS do Proc. Licitatório" id="13"/>
    <tableColumn name="LOCALIZAÇÃO" id="14"/>
    <tableColumn name="CONSULTA" id="15"/>
    <tableColumn name="RESPONSÁVEL" id="16"/>
  </tableColumns>
  <tableStyleInfo name="Contratos - PPMA-style 2" showColumnStripes="0" showFirstColumn="1" showLastColumn="1" showRowStripes="1"/>
</table>
</file>

<file path=xl/tables/table3.xml><?xml version="1.0" encoding="utf-8"?>
<table xmlns="http://schemas.openxmlformats.org/spreadsheetml/2006/main" ref="A5:M8" displayName="LICITAÇÃO_" name="LICITAÇÃO_" id="1">
  <tableColumns count="13">
    <tableColumn name="PROCESSO ORIGINAL (SEI)" id="1"/>
    <tableColumn name="PROCESSOS DE AUTORIZAÇÃO (GOVERNO)" id="2"/>
    <tableColumn name="STARGOV N°" id="3"/>
    <tableColumn name="MEMO DE ABERTURA" id="4"/>
    <tableColumn name="LICITAÇÃO (modalidade)" id="5"/>
    <tableColumn name="CUSTEIO/RECURSO" id="6"/>
    <tableColumn name="VALOR CONTRATUAL PREVISTO" id="7"/>
    <tableColumn name="OBJETO" id="8"/>
    <tableColumn name="QUANTIDADE" id="9"/>
    <tableColumn name="STATUS" id="10"/>
    <tableColumn name="LOCALIZAÇÃO" id="11"/>
    <tableColumn name="DATA" id="12"/>
    <tableColumn name="CONSULTOR" id="13"/>
  </tableColumns>
  <tableStyleInfo name="Procs. Licitatórios (sem Contra-style" showColumnStripes="0" showFirstColumn="1" showLastColumn="1" showRowStripes="1"/>
</table>
</file>

<file path=xl/tables/table4.xml><?xml version="1.0" encoding="utf-8"?>
<table xmlns="http://schemas.openxmlformats.org/spreadsheetml/2006/main" ref="A5:K19" displayName="BODYSCAN_" name="BODYSCAN_" id="2">
  <tableColumns count="11">
    <tableColumn name="CONTRATO" id="1"/>
    <tableColumn name="LOCALIDADE" id="2"/>
    <tableColumn name="EQUIPAMENTO" id="3"/>
    <tableColumn name="UNIDADE" id="4"/>
    <tableColumn name="N° DE SÉRIE" id="5"/>
    <tableColumn name="MODELO" id="6"/>
    <tableColumn name="COBERTURA DE CONTRATO" id="7"/>
    <tableColumn name="PENDÊNCIA" id="8"/>
    <tableColumn name="ORDEM DE SERVIÇO (atual)" id="9"/>
    <tableColumn name="STATUS" id="10"/>
    <tableColumn name="DATA DA GARANTIA" id="11"/>
  </tableColumns>
  <tableStyleInfo name="Bodyscan (status)-style" showColumnStripes="0" showFirstColumn="1" showLastColumn="1" showRowStripes="1"/>
</table>
</file>

<file path=xl/tables/table5.xml><?xml version="1.0" encoding="utf-8"?>
<table xmlns="http://schemas.openxmlformats.org/spreadsheetml/2006/main" ref="A5:L51" displayName="Esteiras" name="Esteiras" id="5">
  <autoFilter ref="$A$5:$L$51"/>
  <tableColumns count="12">
    <tableColumn name="CONTRATO" id="1"/>
    <tableColumn name="LOCALIDADE" id="2"/>
    <tableColumn name="EQUIPAMENTO" id="3"/>
    <tableColumn name="UNIDADE" id="4"/>
    <tableColumn name="N° DE SÉRIE" id="5"/>
    <tableColumn name="MODELO" id="6"/>
    <tableColumn name="COBERTURA DE CONTRATO" id="7"/>
    <tableColumn name="INFORMAÇÕES / PENDÊNCIAS" id="8"/>
    <tableColumn name="ORDEM DE SERVIÇO / TAREFA" id="9"/>
    <tableColumn name="SEI (solicitação)" id="10"/>
    <tableColumn name="STATUS" id="11"/>
    <tableColumn name="DATA DA GARANTIA" id="12"/>
  </tableColumns>
  <tableStyleInfo name="Esteira Raio-x (status)-style" showColumnStripes="0" showFirstColumn="1" showLastColumn="1" showRowStripes="1"/>
</table>
</file>

<file path=xl/tables/table6.xml><?xml version="1.0" encoding="utf-8"?>
<table xmlns="http://schemas.openxmlformats.org/spreadsheetml/2006/main" ref="A4:J155" displayName="Tabela_10" name="Tabela_10" id="6">
  <autoFilter ref="$A$4:$J$155"/>
  <tableColumns count="10">
    <tableColumn name="COBERTURA DE CONTRATO" id="1"/>
    <tableColumn name="LOCALIDADE" id="2"/>
    <tableColumn name="EQUIPAMENTO" id="3"/>
    <tableColumn name="UNIDADE" id="4"/>
    <tableColumn name="MODELO" id="5"/>
    <tableColumn name="N° DE SÉRIE" id="6"/>
    <tableColumn name="TOMBO" id="7"/>
    <tableColumn name="INFORMAÇÕES / PENDÊNCIAS" id="8"/>
    <tableColumn name="STATUS" id="9"/>
    <tableColumn name="ORDEM DE SERVIÇO (atual)" id="10"/>
  </tableColumns>
  <tableStyleInfo name="Pórticos (status)-style" showColumnStripes="0" showFirstColumn="1" showLastColumn="1" showRowStripes="1"/>
</table>
</file>

<file path=xl/tables/table7.xml><?xml version="1.0" encoding="utf-8"?>
<table xmlns="http://schemas.openxmlformats.org/spreadsheetml/2006/main" ref="A5:S184" displayName="Tabela_2" name="Tabela_2" id="7">
  <autoFilter ref="$A$5:$S$184">
    <filterColumn colId="5">
      <filters blank="1">
        <filter val="MANUTENÇÃO PREVENTIVA"/>
      </filters>
    </filterColumn>
  </autoFilter>
  <tableColumns count="19">
    <tableColumn name="CONTRATO" id="1"/>
    <tableColumn name="PROCESSO" id="2"/>
    <tableColumn name="ORDEM DE SERVIÇO" id="3"/>
    <tableColumn name="EQUIPAMENTO" id="4"/>
    <tableColumn name="SEI" id="5"/>
    <tableColumn name="TIPO DE SERVIÇO" id="6"/>
    <tableColumn name="MODELO" id="7"/>
    <tableColumn name="N° DE SÉRIE" id="8"/>
    <tableColumn name="UNIDADE" id="9"/>
    <tableColumn name="DATA DE ASSINATURA - DG/PPMA" id="10"/>
    <tableColumn name="DATA DA TAREFA" id="11"/>
    <tableColumn name="TAREFA" id="12"/>
    <tableColumn name="DATA DA TRATATIVA" id="13"/>
    <tableColumn name="TRATATIVA" id="14"/>
    <tableColumn name="OBSERVAÇÕES DA TAREFA" id="15"/>
    <tableColumn name="OBSERVARÇÕES DA TRATATIVA" id="16"/>
    <tableColumn name="LINK ORDEM" id="17"/>
    <tableColumn name="LINK TAREFA" id="18"/>
    <tableColumn name="STATUS" id="19"/>
  </tableColumns>
  <tableStyleInfo name="Ordens de Serviço - Bodyscan-style" showColumnStripes="0" showFirstColumn="1" showLastColumn="1" showRowStripes="1"/>
</table>
</file>

<file path=xl/tables/table8.xml><?xml version="1.0" encoding="utf-8"?>
<table xmlns="http://schemas.openxmlformats.org/spreadsheetml/2006/main" ref="A5:W175" displayName="Tabela" name="Tabela" id="8">
  <autoFilter ref="$A$5:$W$175"/>
  <tableColumns count="23">
    <tableColumn name="CONTRATO" id="1"/>
    <tableColumn name="PROCESSO" id="2"/>
    <tableColumn name="ORDEM DE SERVIÇO" id="3"/>
    <tableColumn name="EQUIPAMENTO" id="4"/>
    <tableColumn name="SEI" id="5"/>
    <tableColumn name="MODELO" id="6"/>
    <tableColumn name="N° DE SÉRIE" id="7"/>
    <tableColumn name="TOMBO" id="8"/>
    <tableColumn name="UNIDADE" id="9"/>
    <tableColumn name="DATA DE ASSINATURA" id="10"/>
    <tableColumn name="DATA DA TAREFA" id="11"/>
    <tableColumn name="DATA DA TRATATIVA" id="12"/>
    <tableColumn name="TAREFA" id="13"/>
    <tableColumn name="TRATATIVA" id="14"/>
    <tableColumn name="OBSERVAÇÕES DA TAREFA" id="15"/>
    <tableColumn name="OBSERVARÇÕES DA TRATATIVA" id="16"/>
    <tableColumn name="LINK ORDEM" id="17"/>
    <tableColumn name="LINK TAREFA" id="18"/>
    <tableColumn name="TIPO DE SERVIÇO" id="19"/>
    <tableColumn name="DATA - MAN. PREVENTIVA" id="20"/>
    <tableColumn name="DATA - MAN. CORRETIVA" id="21"/>
    <tableColumn name="TÉCNICO" id="22"/>
    <tableColumn name="STATUS" id="23"/>
  </tableColumns>
  <tableStyleInfo name="Ordens de Serviço - Pórticos-style" showColumnStripes="0" showFirstColumn="1" showLastColumn="1" showRowStripes="1"/>
</table>
</file>

<file path=xl/tables/table9.xml><?xml version="1.0" encoding="utf-8"?>
<table xmlns="http://schemas.openxmlformats.org/spreadsheetml/2006/main" ref="A5:T175" displayName="Tabela_4" name="Tabela_4" id="9">
  <autoFilter ref="$A$5:$T$175"/>
  <tableColumns count="20">
    <tableColumn name="CONTRATO" id="1"/>
    <tableColumn name="PROCESSO" id="2"/>
    <tableColumn name="ORDEM DE SERVIÇO" id="3"/>
    <tableColumn name="EQUIPAMENTO" id="4"/>
    <tableColumn name="SEI" id="5"/>
    <tableColumn name="MODELO" id="6"/>
    <tableColumn name="N° DE SÉRIE" id="7"/>
    <tableColumn name="UNIDADE" id="8"/>
    <tableColumn name="DATA DE ASSINATURA" id="9"/>
    <tableColumn name="DATA DA TAREFA" id="10"/>
    <tableColumn name="DEFEITO APRESENTADO/SERVIÇO EFETUADO" id="11"/>
    <tableColumn name="TRATATIVA" id="12"/>
    <tableColumn name="TROCA DE PEÇAS" id="13"/>
    <tableColumn name="OBS TROCA DE PEÇAS" id="14"/>
    <tableColumn name="DATA DA TROCA DE PEÇAS" id="15"/>
    <tableColumn name="LINK ORDEM" id="16"/>
    <tableColumn name="LINK TAREFA" id="17"/>
    <tableColumn name="TIPO DE SERVIÇO" id="18"/>
    <tableColumn name="TÉCNICO" id="19"/>
    <tableColumn name="STATUS" id="20"/>
  </tableColumns>
  <tableStyleInfo name="RAPHAEL PRODUÇÃO Ordens de Serv-style" showColumnStripes="0" showFirstColumn="1" showLastColumn="1" showRowStripes="1"/>
</table>
</file>

<file path=xl/tables/table10.xml><?xml version="1.0" encoding="utf-8"?>
<table xmlns="http://schemas.openxmlformats.org/spreadsheetml/2006/main" ref="A5:V133" displayName="Tabela_1" name="Tabela_1" id="10">
  <autoFilter ref="$A$5:$V$133"/>
  <tableColumns count="22">
    <tableColumn name="CONTRATO" id="1"/>
    <tableColumn name="PROCESSO" id="2"/>
    <tableColumn name="ORDEM DE SERVIÇO" id="3"/>
    <tableColumn name="EQUIPAMENTO" id="4"/>
    <tableColumn name="SEI" id="5"/>
    <tableColumn name="TIPO DE SERVIÇO" id="6"/>
    <tableColumn name="MODELO" id="7"/>
    <tableColumn name="N° DE SÉRIE" id="8"/>
    <tableColumn name="UNIDADE" id="9"/>
    <tableColumn name="DATA DE ASSINATURA - DG/PPMA" id="10"/>
    <tableColumn name="DATA DA TAREFA" id="11"/>
    <tableColumn name="DATA DA TRATATIVA" id="12"/>
    <tableColumn name="TAREFA" id="13"/>
    <tableColumn name="TRATATIVA" id="14"/>
    <tableColumn name="TRATATIVA DA TRATATIVA" id="15"/>
    <tableColumn name="OBSERVAÇÕES DA TAREFA" id="16"/>
    <tableColumn name="OBSERVARÇÕES DA TRATATIVA" id="17"/>
    <tableColumn name="OBSERVAÇÕES TRATATIVA (TRATATIVA)" id="18"/>
    <tableColumn name="LINK ORDEM" id="19"/>
    <tableColumn name="LINK TAREFA" id="20"/>
    <tableColumn name="STATUS" id="21"/>
    <tableColumn name="CRONOGRAMA" id="22"/>
  </tableColumns>
  <tableStyleInfo name="Ordens de Serviço - Esteiras-style" showColumnStripes="0" showFirstColumn="1" showLastColumn="1" showRowStripes="1"/>
</table>
</file>

<file path=xl/tables/table11.xml><?xml version="1.0" encoding="utf-8"?>
<table xmlns="http://schemas.openxmlformats.org/spreadsheetml/2006/main" ref="A5:L19" displayName="Esteiras_2" name="Esteiras_2" id="11">
  <autoFilter ref="$A$5:$L$19"/>
  <tableColumns count="12">
    <tableColumn name="CONTRATO" id="1"/>
    <tableColumn name="LOCALIDADE" id="2"/>
    <tableColumn name="EQUIPAMENTO" id="3"/>
    <tableColumn name="UNIDADE" id="4"/>
    <tableColumn name="N° DE SÉRIE" id="5"/>
    <tableColumn name="MODELO" id="6"/>
    <tableColumn name="COBERTURA DE CONTRATO" id="7"/>
    <tableColumn name="INFORMAÇÕES / PENDÊNCIAS" id="8"/>
    <tableColumn name="ORDEM DE SERVIÇO (atual)" id="9"/>
    <tableColumn name="INFOS - VMI (CT 71/2023)" id="10"/>
    <tableColumn name="STATUS" id="11"/>
    <tableColumn name="DATA DA GARANTIA" id="12"/>
  </tableColumns>
  <tableStyleInfo name="Esteiras desafetadas-style" showColumnStripes="0" showFirstColumn="1" showLastColumn="1" showRowStripes="1"/>
</table>
</file>

<file path=xl/tables/table12.xml><?xml version="1.0" encoding="utf-8"?>
<table xmlns="http://schemas.openxmlformats.org/spreadsheetml/2006/main" ref="A5:M37" displayName="VMI_02_2024_" name="VMI_02_2024_" id="12">
  <tableColumns count="13">
    <tableColumn name="CONTRATO" id="1"/>
    <tableColumn name="OBJETO" id="2"/>
    <tableColumn name="REAJUSTE" id="3"/>
    <tableColumn name="SEI" id="4"/>
    <tableColumn name="MÊS" id="5"/>
    <tableColumn name="NOTA FISCAL" id="6"/>
    <tableColumn name="VALOR NF" id="7"/>
    <tableColumn name="STATUS NF (RFC/RGC)" id="8"/>
    <tableColumn name="FONTE DE CUSTEIO" id="9"/>
    <tableColumn name="ORDEM BANCÁRIA" id="10"/>
    <tableColumn name="VALOR OB" id="11"/>
    <tableColumn name="DATA DO PAGAMENTO" id="12"/>
    <tableColumn name="STATUS OB" id="13"/>
  </tableColumns>
  <tableStyleInfo name="Financeiro CT 022024-style" showColumnStripes="0" showFirstColumn="1" showLastColumn="1" showRowStripes="1"/>
</table>
</file>

<file path=xl/tables/table13.xml><?xml version="1.0" encoding="utf-8"?>
<table xmlns="http://schemas.openxmlformats.org/spreadsheetml/2006/main" ref="A49:B52" displayName="Tabela_5" name="Tabela_5" id="13">
  <tableColumns count="2">
    <tableColumn name="VALOR UTILIZADO - 06/05/2025" id="1"/>
    <tableColumn name="VALOR" id="2"/>
  </tableColumns>
  <tableStyleInfo name="Financeiro CT 022024-style 2" showColumnStripes="0" showFirstColumn="1" showLastColumn="1" showRowStripes="1"/>
</table>
</file>

<file path=xl/tables/table14.xml><?xml version="1.0" encoding="utf-8"?>
<table xmlns="http://schemas.openxmlformats.org/spreadsheetml/2006/main" ref="D49:E51" displayName="Tabela_6" name="Tabela_6" id="14">
  <tableColumns count="2">
    <tableColumn name="PLANO DO FUNDO (MEMO CIRC. 04/2024)" id="1"/>
    <tableColumn name="VALOR" id="2"/>
  </tableColumns>
  <tableStyleInfo name="Financeiro CT 022024-style 3" showColumnStripes="0" showFirstColumn="1" showLastColumn="1" showRowStripes="1"/>
</table>
</file>

<file path=xl/tables/table15.xml><?xml version="1.0" encoding="utf-8"?>
<table xmlns="http://schemas.openxmlformats.org/spreadsheetml/2006/main" ref="A55:B58" displayName="Tabela_7" name="Tabela_7" id="15">
  <tableColumns count="2">
    <tableColumn name="SALDO FINAL" id="1"/>
    <tableColumn name="VALOR" id="2"/>
  </tableColumns>
  <tableStyleInfo name="Financeiro CT 022024-style 4" showColumnStripes="0" showFirstColumn="1" showLastColumn="1" showRowStripes="1"/>
</table>
</file>

<file path=xl/tables/table16.xml><?xml version="1.0" encoding="utf-8"?>
<table xmlns="http://schemas.openxmlformats.org/spreadsheetml/2006/main" ref="D55:E57" displayName="Tabela_3" name="Tabela_3" id="16">
  <tableColumns count="2">
    <tableColumn name="INFORMAÇÕES CONTRATUAIS" id="1"/>
    <tableColumn name="VALOR" id="2"/>
  </tableColumns>
  <tableStyleInfo name="Financeiro CT 022024-style 5" showColumnStripes="0" showFirstColumn="1" showLastColumn="1" showRowStripes="1"/>
</table>
</file>

<file path=xl/tables/table17.xml><?xml version="1.0" encoding="utf-8"?>
<table xmlns="http://schemas.openxmlformats.org/spreadsheetml/2006/main" ref="A1:N13" displayName="FINANCEIRO_CT._88" name="FINANCEIRO_CT._88" id="17">
  <tableColumns count="14">
    <tableColumn name="CONTRATO" id="1"/>
    <tableColumn name="OBJETO" id="2"/>
    <tableColumn name="SEI " id="3"/>
    <tableColumn name="TIPO" id="4"/>
    <tableColumn name="MÊS" id="5"/>
    <tableColumn name="NOTA FISCAL" id="6"/>
    <tableColumn name="DATA NF" id="7"/>
    <tableColumn name="VALOR NF" id="8"/>
    <tableColumn name="STATUS NF (RFC/RGC)" id="9"/>
    <tableColumn name="FONTE DE CUSTEIO" id="10"/>
    <tableColumn name="ORDEM BANCÁRIA" id="11"/>
    <tableColumn name="VALOR OB" id="12"/>
    <tableColumn name="DATA DO PAGAMENTO" id="13"/>
    <tableColumn name="STATUS OB" id="14"/>
  </tableColumns>
  <tableStyleInfo name="Financeiro CT 882025 (MANUT)-style" showColumnStripes="0" showFirstColumn="1" showLastColumn="1" showRowStripes="1"/>
</table>
</file>

<file path=xl/tables/table18.xml><?xml version="1.0" encoding="utf-8"?>
<table xmlns="http://schemas.openxmlformats.org/spreadsheetml/2006/main" ref="A1:N3" displayName="FINANCEIRO_CT._88_2" name="FINANCEIRO_CT._88_2" id="18">
  <tableColumns count="14">
    <tableColumn name="CONTRATO" id="1"/>
    <tableColumn name="OBJETO" id="2"/>
    <tableColumn name="SEI " id="3"/>
    <tableColumn name="TIPO" id="4"/>
    <tableColumn name="MÊS" id="5"/>
    <tableColumn name="NOTA FISCAL" id="6"/>
    <tableColumn name="DATA NF" id="7"/>
    <tableColumn name="VALOR NF" id="8"/>
    <tableColumn name="STATUS NF (RFC/RGC)" id="9"/>
    <tableColumn name="FONTE DE CUSTEIO" id="10"/>
    <tableColumn name="ORDEM BANCÁRIA" id="11"/>
    <tableColumn name="VALOR OB" id="12"/>
    <tableColumn name="DATA DO PAGAMENTO" id="13"/>
    <tableColumn name="STATUS OB" id="14"/>
  </tableColumns>
  <tableStyleInfo name="Financeiro CT 882025 (PEÇAS)-style" showColumnStripes="0" showFirstColumn="1" showLastColumn="1" showRowStripes="1"/>
</table>
</file>

<file path=xl/tables/table19.xml><?xml version="1.0" encoding="utf-8"?>
<table xmlns="http://schemas.openxmlformats.org/spreadsheetml/2006/main" ref="A5:N24" displayName="CT_133.2025_" name="CT_133.2025_" id="19">
  <tableColumns count="14">
    <tableColumn name="CONTRATO" id="1"/>
    <tableColumn name="OBJETO" id="2"/>
    <tableColumn name="REAJUSTE" id="3"/>
    <tableColumn name="SEI" id="4"/>
    <tableColumn name="MÊS" id="5"/>
    <tableColumn name="NOTA FISCAL" id="6"/>
    <tableColumn name="DATA NF" id="7"/>
    <tableColumn name="VALOR NF" id="8"/>
    <tableColumn name="STATUS NF (RFC/RGC)" id="9"/>
    <tableColumn name="FONTE DE CUSTEIO" id="10"/>
    <tableColumn name="ORDEM BANCÁRIA" id="11"/>
    <tableColumn name="VALOR OB" id="12"/>
    <tableColumn name="DATA DO PAGAMENTO" id="13"/>
    <tableColumn name="STATUS OB" id="14"/>
  </tableColumns>
  <tableStyleInfo name="Financeiro CT 1332025-style" showColumnStripes="0" showFirstColumn="1" showLastColumn="1" showRowStripes="1"/>
</table>
</file>

<file path=xl/tables/table20.xml><?xml version="1.0" encoding="utf-8"?>
<table xmlns="http://schemas.openxmlformats.org/spreadsheetml/2006/main" ref="A7:K8" displayName="MUNIÇÃO_AM_403_P_" name="MUNIÇÃO_AM_403_P_" id="20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DO OB" id="8"/>
    <tableColumn name="DATA DO PAGAMENTO" id="9"/>
    <tableColumn name="FONTE DE CUSTEIO" id="10"/>
    <tableColumn name="STATUS OB" id="11"/>
  </tableColumns>
  <tableStyleInfo name="Financeiro Geral-style" showColumnStripes="0" showFirstColumn="1" showLastColumn="1" showRowStripes="1"/>
</table>
</file>

<file path=xl/tables/table21.xml><?xml version="1.0" encoding="utf-8"?>
<table xmlns="http://schemas.openxmlformats.org/spreadsheetml/2006/main" ref="A11:K14" displayName="EXTINTOR_FOGO_ZERO" name="EXTINTOR_FOGO_ZERO" id="21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DO OB" id="8"/>
    <tableColumn name="DATA DO PAGAMENTO" id="9"/>
    <tableColumn name="FONTE DE CUSTEIO" id="10"/>
    <tableColumn name="STATUS OB" id="11"/>
  </tableColumns>
  <tableStyleInfo name="Financeiro Geral-style 2" showColumnStripes="0" showFirstColumn="1" showLastColumn="1" showRowStripes="1"/>
</table>
</file>

<file path=xl/tables/table22.xml><?xml version="1.0" encoding="utf-8"?>
<table xmlns="http://schemas.openxmlformats.org/spreadsheetml/2006/main" ref="A17:K18" displayName="MUNIÇÃO_CAL_.40_" name="MUNIÇÃO_CAL_.40_" id="22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DA OB" id="8"/>
    <tableColumn name="DATA DO PAGAMENTO" id="9"/>
    <tableColumn name="FONTE DE CUSTEIO" id="10"/>
    <tableColumn name="STATUS OB" id="11"/>
  </tableColumns>
  <tableStyleInfo name="Financeiro Geral-style 3" showColumnStripes="0" showFirstColumn="1" showLastColumn="1" showRowStripes="1"/>
</table>
</file>

<file path=xl/tables/table23.xml><?xml version="1.0" encoding="utf-8"?>
<table xmlns="http://schemas.openxmlformats.org/spreadsheetml/2006/main" ref="A21:K22" displayName="MUNIÇÃO_9MM" name="MUNIÇÃO_9MM" id="23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DA OB" id="8"/>
    <tableColumn name="DATA DO PAGAMENTO" id="9"/>
    <tableColumn name="FONTE DE CUSTEIO" id="10"/>
    <tableColumn name="STATUS OB" id="11"/>
  </tableColumns>
  <tableStyleInfo name="Financeiro Geral-style 4" showColumnStripes="0" showFirstColumn="1" showLastColumn="1" showRowStripes="1"/>
</table>
</file>

<file path=xl/tables/table24.xml><?xml version="1.0" encoding="utf-8"?>
<table xmlns="http://schemas.openxmlformats.org/spreadsheetml/2006/main" ref="A25:K26" displayName="ALGEMAS" name="ALGEMAS" id="24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DA OB" id="8"/>
    <tableColumn name="DATA DO PAGAMENTO" id="9"/>
    <tableColumn name="FONTE DE CUSTEIO" id="10"/>
    <tableColumn name="STATUS OB" id="11"/>
  </tableColumns>
  <tableStyleInfo name="Financeiro Geral-style 5" showColumnStripes="0" showFirstColumn="1" showLastColumn="1" showRowStripes="1"/>
</table>
</file>

<file path=xl/tables/table25.xml><?xml version="1.0" encoding="utf-8"?>
<table xmlns="http://schemas.openxmlformats.org/spreadsheetml/2006/main" ref="A29:K30" displayName="MUNIÇÃO_CARGA_BALOTE" name="MUNIÇÃO_CARGA_BALOTE" id="25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DA OB" id="8"/>
    <tableColumn name="DATA DO PAGAMENTO" id="9"/>
    <tableColumn name="FONTE CUSTEIO" id="10"/>
    <tableColumn name="STATUS OB" id="11"/>
  </tableColumns>
  <tableStyleInfo name="Financeiro Geral-style 6" showColumnStripes="0" showFirstColumn="1" showLastColumn="1" showRowStripes="1"/>
</table>
</file>

<file path=xl/tables/table26.xml><?xml version="1.0" encoding="utf-8"?>
<table xmlns="http://schemas.openxmlformats.org/spreadsheetml/2006/main" ref="A33:K34" displayName="MUNIÇÃO_GL_101" name="MUNIÇÃO_GL_101" id="26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7" showColumnStripes="0" showFirstColumn="1" showLastColumn="1" showRowStripes="1"/>
</table>
</file>

<file path=xl/tables/table27.xml><?xml version="1.0" encoding="utf-8"?>
<table xmlns="http://schemas.openxmlformats.org/spreadsheetml/2006/main" ref="A37:K38" displayName="MUNIÇÃO_5.56" name="MUNIÇÃO_5.56" id="27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8" showColumnStripes="0" showFirstColumn="1" showLastColumn="1" showRowStripes="1"/>
</table>
</file>

<file path=xl/tables/table28.xml><?xml version="1.0" encoding="utf-8"?>
<table xmlns="http://schemas.openxmlformats.org/spreadsheetml/2006/main" ref="A41:K43" displayName="COLETE_BALÍSTICO_III_A" name="COLETE_BALÍSTICO_III_A" id="28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9" showColumnStripes="0" showFirstColumn="1" showLastColumn="1" showRowStripes="1"/>
</table>
</file>

<file path=xl/tables/table29.xml><?xml version="1.0" encoding="utf-8"?>
<table xmlns="http://schemas.openxmlformats.org/spreadsheetml/2006/main" ref="A46:K47" displayName="MUNIÇÃO_CAL._12" name="MUNIÇÃO_CAL._12" id="29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10" showColumnStripes="0" showFirstColumn="1" showLastColumn="1" showRowStripes="1"/>
</table>
</file>

<file path=xl/tables/table30.xml><?xml version="1.0" encoding="utf-8"?>
<table xmlns="http://schemas.openxmlformats.org/spreadsheetml/2006/main" ref="A50:K51" displayName="ALGEMAS_" name="ALGEMAS_" id="30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11" showColumnStripes="0" showFirstColumn="1" showLastColumn="1" showRowStripes="1"/>
</table>
</file>

<file path=xl/tables/table31.xml><?xml version="1.0" encoding="utf-8"?>
<table xmlns="http://schemas.openxmlformats.org/spreadsheetml/2006/main" ref="A54:K61" displayName="EXTINTOR__" name="EXTINTOR__" id="31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12" showColumnStripes="0" showFirstColumn="1" showLastColumn="1" showRowStripes="1"/>
</table>
</file>

<file path=xl/tables/table32.xml><?xml version="1.0" encoding="utf-8"?>
<table xmlns="http://schemas.openxmlformats.org/spreadsheetml/2006/main" ref="A64:K66" displayName="_ESPINGARDAS_CAL._12_" name="_ESPINGARDAS_CAL._12_" id="32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13" showColumnStripes="0" showFirstColumn="1" showLastColumn="1" showRowStripes="1"/>
</table>
</file>

<file path=xl/tables/table33.xml><?xml version="1.0" encoding="utf-8"?>
<table xmlns="http://schemas.openxmlformats.org/spreadsheetml/2006/main" ref="A69:K70" displayName="PISTOLA_CAL._9MM_" name="PISTOLA_CAL._9MM_" id="33">
  <tableColumns count="11">
    <tableColumn name="CONTRATO" id="1"/>
    <tableColumn name="OBJETO" id="2"/>
    <tableColumn name="SEI" id="3"/>
    <tableColumn name="NOTA FISCAL" id="4"/>
    <tableColumn name="VALOR NF" id="5"/>
    <tableColumn name="STATUS NF" id="6"/>
    <tableColumn name="ORDEM BANCÁRIA" id="7"/>
    <tableColumn name="VALOR OB" id="8"/>
    <tableColumn name="DATA DO PAGAMENTO" id="9"/>
    <tableColumn name="FONTE DE CUSTEIO" id="10"/>
    <tableColumn name="STATUS OB" id="11"/>
  </tableColumns>
  <tableStyleInfo name="Financeiro Geral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ei.ma.gov.br/sei/controlador.php?acao=protocolo_visualizar&amp;id_protocolo=16164888&amp;id_procedimento_atual=16331340&amp;infra_sistema=100000100&amp;infra_unidade_atual=110001249&amp;infra_hash=577b1c6a88a9e9a3b99c4498d1712497d4237050b61b3fe5c5d5542a693b3edc2bdf33fdf554e22f02f613980930ff32441bc0bccac78922de8a7082ccbbced37a4f2ed2a8926610545f5a5808b16bb4e292b77fc8e5f0ed7128b1434771f475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surl.li/nnzikh" TargetMode="External"/><Relationship Id="rId190" Type="http://schemas.openxmlformats.org/officeDocument/2006/relationships/hyperlink" Target="https://encurtador.com.br/qzSX" TargetMode="External"/><Relationship Id="rId42" Type="http://schemas.openxmlformats.org/officeDocument/2006/relationships/hyperlink" Target="https://surl.li/nnzikh" TargetMode="External"/><Relationship Id="rId41" Type="http://schemas.openxmlformats.org/officeDocument/2006/relationships/hyperlink" Target="https://surl.li/hmnuhp" TargetMode="External"/><Relationship Id="rId44" Type="http://schemas.openxmlformats.org/officeDocument/2006/relationships/hyperlink" Target="https://encurtador.com.br/4nR5Z" TargetMode="External"/><Relationship Id="rId194" Type="http://schemas.openxmlformats.org/officeDocument/2006/relationships/hyperlink" Target="https://encurtador.com.br/sAXg" TargetMode="External"/><Relationship Id="rId43" Type="http://schemas.openxmlformats.org/officeDocument/2006/relationships/hyperlink" Target="https://encurtador.com.br/IxkX4" TargetMode="External"/><Relationship Id="rId193" Type="http://schemas.openxmlformats.org/officeDocument/2006/relationships/hyperlink" Target="https://encurtador.com.br/yBMk" TargetMode="External"/><Relationship Id="rId46" Type="http://schemas.openxmlformats.org/officeDocument/2006/relationships/hyperlink" Target="https://surl.li/ypharj" TargetMode="External"/><Relationship Id="rId192" Type="http://schemas.openxmlformats.org/officeDocument/2006/relationships/hyperlink" Target="https://app.auvo.com.br/informacoes/tarefa/f7a5b37d-8941-42e4-bfcd-1a8991f7ab6e?chave=SwwwoZQURJ5n0edu7xUOfA" TargetMode="External"/><Relationship Id="rId45" Type="http://schemas.openxmlformats.org/officeDocument/2006/relationships/hyperlink" Target="https://surl.li/fwsfkz" TargetMode="External"/><Relationship Id="rId191" Type="http://schemas.openxmlformats.org/officeDocument/2006/relationships/hyperlink" Target="https://app.auvo.com.br/informacoes/tarefa/5757e595-3aea-49ea-834c-1572f5727c2d?chave=cEQBuXY-7JoAUe16rOYEWw" TargetMode="External"/><Relationship Id="rId48" Type="http://schemas.openxmlformats.org/officeDocument/2006/relationships/hyperlink" Target="https://surl.li/ypharj" TargetMode="External"/><Relationship Id="rId187" Type="http://schemas.openxmlformats.org/officeDocument/2006/relationships/hyperlink" Target="https://encurtador.com.br/QzLi" TargetMode="External"/><Relationship Id="rId47" Type="http://schemas.openxmlformats.org/officeDocument/2006/relationships/hyperlink" Target="https://surl.li/fwsfkz" TargetMode="External"/><Relationship Id="rId186" Type="http://schemas.openxmlformats.org/officeDocument/2006/relationships/hyperlink" Target="https://encurtador.com.br/ZjnK" TargetMode="External"/><Relationship Id="rId185" Type="http://schemas.openxmlformats.org/officeDocument/2006/relationships/hyperlink" Target="https://encurtador.com.br/FyMl" TargetMode="External"/><Relationship Id="rId49" Type="http://schemas.openxmlformats.org/officeDocument/2006/relationships/hyperlink" Target="https://surl.li/fwsfkz" TargetMode="External"/><Relationship Id="rId184" Type="http://schemas.openxmlformats.org/officeDocument/2006/relationships/hyperlink" Target="https://encurtador.com.br/ZjnK" TargetMode="External"/><Relationship Id="rId189" Type="http://schemas.openxmlformats.org/officeDocument/2006/relationships/hyperlink" Target="https://encurtador.com.br/Ndye" TargetMode="External"/><Relationship Id="rId188" Type="http://schemas.openxmlformats.org/officeDocument/2006/relationships/hyperlink" Target="https://encurtador.com.br/ttCW" TargetMode="External"/><Relationship Id="rId31" Type="http://schemas.openxmlformats.org/officeDocument/2006/relationships/hyperlink" Target="https://surl.li/tgmvzh" TargetMode="External"/><Relationship Id="rId30" Type="http://schemas.openxmlformats.org/officeDocument/2006/relationships/hyperlink" Target="https://surl.li/whmwpm" TargetMode="External"/><Relationship Id="rId33" Type="http://schemas.openxmlformats.org/officeDocument/2006/relationships/hyperlink" Target="https://surl.li/tgmvzh" TargetMode="External"/><Relationship Id="rId183" Type="http://schemas.openxmlformats.org/officeDocument/2006/relationships/hyperlink" Target="https://encurtador.com.br/giiz" TargetMode="External"/><Relationship Id="rId32" Type="http://schemas.openxmlformats.org/officeDocument/2006/relationships/hyperlink" Target="https://surl.li/whmwpm" TargetMode="External"/><Relationship Id="rId182" Type="http://schemas.openxmlformats.org/officeDocument/2006/relationships/hyperlink" Target="https://encurtador.com.br/hcWs" TargetMode="External"/><Relationship Id="rId35" Type="http://schemas.openxmlformats.org/officeDocument/2006/relationships/hyperlink" Target="https://surl.li/tgmvzh" TargetMode="External"/><Relationship Id="rId181" Type="http://schemas.openxmlformats.org/officeDocument/2006/relationships/hyperlink" Target="https://encurtador.com.br/bpKp" TargetMode="External"/><Relationship Id="rId34" Type="http://schemas.openxmlformats.org/officeDocument/2006/relationships/hyperlink" Target="https://surl.li/whmwpm" TargetMode="External"/><Relationship Id="rId180" Type="http://schemas.openxmlformats.org/officeDocument/2006/relationships/hyperlink" Target="https://encurtador.com.br/ZjnK" TargetMode="External"/><Relationship Id="rId37" Type="http://schemas.openxmlformats.org/officeDocument/2006/relationships/hyperlink" Target="https://surl.li/hmnuhp" TargetMode="External"/><Relationship Id="rId176" Type="http://schemas.openxmlformats.org/officeDocument/2006/relationships/hyperlink" Target="https://encurtador.com.br/mTso" TargetMode="External"/><Relationship Id="rId36" Type="http://schemas.openxmlformats.org/officeDocument/2006/relationships/hyperlink" Target="https://surl.li/whmwpm" TargetMode="External"/><Relationship Id="rId175" Type="http://schemas.openxmlformats.org/officeDocument/2006/relationships/hyperlink" Target="https://encurtador.com.br/ZjnK" TargetMode="External"/><Relationship Id="rId39" Type="http://schemas.openxmlformats.org/officeDocument/2006/relationships/hyperlink" Target="https://surl.li/hmnuhp" TargetMode="External"/><Relationship Id="rId174" Type="http://schemas.openxmlformats.org/officeDocument/2006/relationships/hyperlink" Target="https://encurtador.com.br/AiVg" TargetMode="External"/><Relationship Id="rId38" Type="http://schemas.openxmlformats.org/officeDocument/2006/relationships/hyperlink" Target="https://surl.li/nnzikh" TargetMode="External"/><Relationship Id="rId173" Type="http://schemas.openxmlformats.org/officeDocument/2006/relationships/hyperlink" Target="https://encurtador.com.br/GEiQ" TargetMode="External"/><Relationship Id="rId179" Type="http://schemas.openxmlformats.org/officeDocument/2006/relationships/hyperlink" Target="https://encurtador.com.br/IMVu" TargetMode="External"/><Relationship Id="rId178" Type="http://schemas.openxmlformats.org/officeDocument/2006/relationships/hyperlink" Target="https://encurtador.com.br/ZjnK" TargetMode="External"/><Relationship Id="rId177" Type="http://schemas.openxmlformats.org/officeDocument/2006/relationships/hyperlink" Target="https://encurtador.com.br/ZjnK" TargetMode="External"/><Relationship Id="rId20" Type="http://schemas.openxmlformats.org/officeDocument/2006/relationships/hyperlink" Target="https://surl.li/tmecxj" TargetMode="External"/><Relationship Id="rId22" Type="http://schemas.openxmlformats.org/officeDocument/2006/relationships/hyperlink" Target="https://surl.li/bjvsfz" TargetMode="External"/><Relationship Id="rId21" Type="http://schemas.openxmlformats.org/officeDocument/2006/relationships/hyperlink" Target="https://surl.li/iquhtz" TargetMode="External"/><Relationship Id="rId24" Type="http://schemas.openxmlformats.org/officeDocument/2006/relationships/hyperlink" Target="https://surl.li/ljpbnr" TargetMode="External"/><Relationship Id="rId23" Type="http://schemas.openxmlformats.org/officeDocument/2006/relationships/hyperlink" Target="https://surl.li/dckdet" TargetMode="External"/><Relationship Id="rId26" Type="http://schemas.openxmlformats.org/officeDocument/2006/relationships/hyperlink" Target="https://surl.li/whmwpm" TargetMode="External"/><Relationship Id="rId25" Type="http://schemas.openxmlformats.org/officeDocument/2006/relationships/hyperlink" Target="https://surl.li/tgmvzh" TargetMode="External"/><Relationship Id="rId28" Type="http://schemas.openxmlformats.org/officeDocument/2006/relationships/hyperlink" Target="https://surl.li/whmwpm" TargetMode="External"/><Relationship Id="rId27" Type="http://schemas.openxmlformats.org/officeDocument/2006/relationships/hyperlink" Target="https://surl.li/tgmvzh" TargetMode="External"/><Relationship Id="rId29" Type="http://schemas.openxmlformats.org/officeDocument/2006/relationships/hyperlink" Target="https://surl.li/tgmvzh" TargetMode="External"/><Relationship Id="rId11" Type="http://schemas.openxmlformats.org/officeDocument/2006/relationships/hyperlink" Target="https://surl.li/iquhtz" TargetMode="External"/><Relationship Id="rId10" Type="http://schemas.openxmlformats.org/officeDocument/2006/relationships/hyperlink" Target="https://surl.li/yoeipj" TargetMode="External"/><Relationship Id="rId13" Type="http://schemas.openxmlformats.org/officeDocument/2006/relationships/hyperlink" Target="https://surl.li/iquhtz" TargetMode="External"/><Relationship Id="rId12" Type="http://schemas.openxmlformats.org/officeDocument/2006/relationships/hyperlink" Target="https://surl.li/dwtuau" TargetMode="External"/><Relationship Id="rId15" Type="http://schemas.openxmlformats.org/officeDocument/2006/relationships/hyperlink" Target="https://surl.li/iquhtz" TargetMode="External"/><Relationship Id="rId198" Type="http://schemas.openxmlformats.org/officeDocument/2006/relationships/hyperlink" Target="https://encurtador.com.br/sAXg" TargetMode="External"/><Relationship Id="rId14" Type="http://schemas.openxmlformats.org/officeDocument/2006/relationships/hyperlink" Target="https://surl.li/nyjypj" TargetMode="External"/><Relationship Id="rId197" Type="http://schemas.openxmlformats.org/officeDocument/2006/relationships/hyperlink" Target="https://app.auvo.com.br/informacoes/tarefa/372fcf91-3614-4d95-8e35-b046aa256f88?chave=N-F-nqd4XqxcWJiBrmND2g" TargetMode="External"/><Relationship Id="rId17" Type="http://schemas.openxmlformats.org/officeDocument/2006/relationships/hyperlink" Target="https://surl.li/iquhtz" TargetMode="External"/><Relationship Id="rId196" Type="http://schemas.openxmlformats.org/officeDocument/2006/relationships/hyperlink" Target="https://encurtador.com.br/sAXg" TargetMode="External"/><Relationship Id="rId16" Type="http://schemas.openxmlformats.org/officeDocument/2006/relationships/hyperlink" Target="https://surl.li/mopelq" TargetMode="External"/><Relationship Id="rId195" Type="http://schemas.openxmlformats.org/officeDocument/2006/relationships/hyperlink" Target="https://app.auvo.com.br/informacoes/tarefa/461bcbb9-e2ef-488e-a69f-8e08761b4e6c?chave=jE8utl70gBl-Mhu5Wj1Yjw" TargetMode="External"/><Relationship Id="rId19" Type="http://schemas.openxmlformats.org/officeDocument/2006/relationships/hyperlink" Target="https://surl.li/iquhtz" TargetMode="External"/><Relationship Id="rId18" Type="http://schemas.openxmlformats.org/officeDocument/2006/relationships/hyperlink" Target="https://surl.li/kbwgcb" TargetMode="External"/><Relationship Id="rId199" Type="http://schemas.openxmlformats.org/officeDocument/2006/relationships/hyperlink" Target="https://app.auvo.com.br/informacoes/tarefa/7c0a725b-9d54-4c1f-b6f6-99a55b6f2535?chave=2RSTYEowcSjf-Y-4qhxKjQ" TargetMode="External"/><Relationship Id="rId84" Type="http://schemas.openxmlformats.org/officeDocument/2006/relationships/hyperlink" Target="https://encurtador.com.br/0bmYp" TargetMode="External"/><Relationship Id="rId83" Type="http://schemas.openxmlformats.org/officeDocument/2006/relationships/hyperlink" Target="https://encurtador.com.br/gryj5" TargetMode="External"/><Relationship Id="rId86" Type="http://schemas.openxmlformats.org/officeDocument/2006/relationships/hyperlink" Target="https://encurtador.com.br/CzDIm" TargetMode="External"/><Relationship Id="rId85" Type="http://schemas.openxmlformats.org/officeDocument/2006/relationships/hyperlink" Target="https://encurtador.com.br/ahiCF" TargetMode="External"/><Relationship Id="rId88" Type="http://schemas.openxmlformats.org/officeDocument/2006/relationships/hyperlink" Target="https://acesse.one/cpFMa" TargetMode="External"/><Relationship Id="rId150" Type="http://schemas.openxmlformats.org/officeDocument/2006/relationships/hyperlink" Target="https://l1nk.dev/9AAoo" TargetMode="External"/><Relationship Id="rId87" Type="http://schemas.openxmlformats.org/officeDocument/2006/relationships/hyperlink" Target="https://l1nk.dev/3rCzL" TargetMode="External"/><Relationship Id="rId89" Type="http://schemas.openxmlformats.org/officeDocument/2006/relationships/hyperlink" Target="https://l1nk.dev/3rCzL" TargetMode="External"/><Relationship Id="rId80" Type="http://schemas.openxmlformats.org/officeDocument/2006/relationships/hyperlink" Target="https://surl.li/kcimyf" TargetMode="External"/><Relationship Id="rId82" Type="http://schemas.openxmlformats.org/officeDocument/2006/relationships/hyperlink" Target="https://surl.li/kcimyf" TargetMode="External"/><Relationship Id="rId81" Type="http://schemas.openxmlformats.org/officeDocument/2006/relationships/hyperlink" Target="https://surl.li/ceaaex" TargetMode="External"/><Relationship Id="rId1" Type="http://schemas.openxmlformats.org/officeDocument/2006/relationships/hyperlink" Target="https://surl.li/iquhtz" TargetMode="External"/><Relationship Id="rId2" Type="http://schemas.openxmlformats.org/officeDocument/2006/relationships/hyperlink" Target="https://surl.li/nyqjnt" TargetMode="External"/><Relationship Id="rId3" Type="http://schemas.openxmlformats.org/officeDocument/2006/relationships/hyperlink" Target="https://surl.li/iquhtz" TargetMode="External"/><Relationship Id="rId149" Type="http://schemas.openxmlformats.org/officeDocument/2006/relationships/hyperlink" Target="https://l1nk.dev/4xtNU" TargetMode="External"/><Relationship Id="rId4" Type="http://schemas.openxmlformats.org/officeDocument/2006/relationships/hyperlink" Target="https://surl.li/btqoho" TargetMode="External"/><Relationship Id="rId148" Type="http://schemas.openxmlformats.org/officeDocument/2006/relationships/hyperlink" Target="https://l1nk.dev/9AAoo" TargetMode="External"/><Relationship Id="rId9" Type="http://schemas.openxmlformats.org/officeDocument/2006/relationships/hyperlink" Target="https://surl.li/iquhtz" TargetMode="External"/><Relationship Id="rId143" Type="http://schemas.openxmlformats.org/officeDocument/2006/relationships/hyperlink" Target="https://l1nk.dev/4xtNU" TargetMode="External"/><Relationship Id="rId142" Type="http://schemas.openxmlformats.org/officeDocument/2006/relationships/hyperlink" Target="https://l1nk.dev/9AAoo" TargetMode="External"/><Relationship Id="rId141" Type="http://schemas.openxmlformats.org/officeDocument/2006/relationships/hyperlink" Target="https://l1nk.dev/4xtNU" TargetMode="External"/><Relationship Id="rId140" Type="http://schemas.openxmlformats.org/officeDocument/2006/relationships/hyperlink" Target="https://l1nk.dev/9AAoo" TargetMode="External"/><Relationship Id="rId5" Type="http://schemas.openxmlformats.org/officeDocument/2006/relationships/hyperlink" Target="https://surl.li/iquhtz" TargetMode="External"/><Relationship Id="rId147" Type="http://schemas.openxmlformats.org/officeDocument/2006/relationships/hyperlink" Target="https://l1nk.dev/4xtNU" TargetMode="External"/><Relationship Id="rId6" Type="http://schemas.openxmlformats.org/officeDocument/2006/relationships/hyperlink" Target="https://surl.li/gzrmnz" TargetMode="External"/><Relationship Id="rId146" Type="http://schemas.openxmlformats.org/officeDocument/2006/relationships/hyperlink" Target="https://l1nk.dev/9AAoo" TargetMode="External"/><Relationship Id="rId7" Type="http://schemas.openxmlformats.org/officeDocument/2006/relationships/hyperlink" Target="https://surl.li/iquhtz" TargetMode="External"/><Relationship Id="rId145" Type="http://schemas.openxmlformats.org/officeDocument/2006/relationships/hyperlink" Target="https://l1nk.dev/4xtNU" TargetMode="External"/><Relationship Id="rId8" Type="http://schemas.openxmlformats.org/officeDocument/2006/relationships/hyperlink" Target="https://surl.li/cbqbcj" TargetMode="External"/><Relationship Id="rId144" Type="http://schemas.openxmlformats.org/officeDocument/2006/relationships/hyperlink" Target="https://l1nk.dev/9AAoo" TargetMode="External"/><Relationship Id="rId73" Type="http://schemas.openxmlformats.org/officeDocument/2006/relationships/hyperlink" Target="https://surl.li/ceaaex" TargetMode="External"/><Relationship Id="rId72" Type="http://schemas.openxmlformats.org/officeDocument/2006/relationships/hyperlink" Target="https://surl.li/kcimyf" TargetMode="External"/><Relationship Id="rId75" Type="http://schemas.openxmlformats.org/officeDocument/2006/relationships/hyperlink" Target="https://surl.li/ceaaex" TargetMode="External"/><Relationship Id="rId74" Type="http://schemas.openxmlformats.org/officeDocument/2006/relationships/hyperlink" Target="https://surl.li/kcimyf" TargetMode="External"/><Relationship Id="rId77" Type="http://schemas.openxmlformats.org/officeDocument/2006/relationships/hyperlink" Target="https://surl.li/ceaaex" TargetMode="External"/><Relationship Id="rId76" Type="http://schemas.openxmlformats.org/officeDocument/2006/relationships/hyperlink" Target="https://surl.li/kcimyf" TargetMode="External"/><Relationship Id="rId79" Type="http://schemas.openxmlformats.org/officeDocument/2006/relationships/hyperlink" Target="https://surl.li/ceaaex" TargetMode="External"/><Relationship Id="rId78" Type="http://schemas.openxmlformats.org/officeDocument/2006/relationships/hyperlink" Target="https://surl.li/kcimyf" TargetMode="External"/><Relationship Id="rId71" Type="http://schemas.openxmlformats.org/officeDocument/2006/relationships/hyperlink" Target="https://surl.li/ceaaex" TargetMode="External"/><Relationship Id="rId70" Type="http://schemas.openxmlformats.org/officeDocument/2006/relationships/hyperlink" Target="https://surl.li/kcimyf" TargetMode="External"/><Relationship Id="rId139" Type="http://schemas.openxmlformats.org/officeDocument/2006/relationships/hyperlink" Target="https://l1nk.dev/4xtNU" TargetMode="External"/><Relationship Id="rId138" Type="http://schemas.openxmlformats.org/officeDocument/2006/relationships/hyperlink" Target="https://l1nk.dev/9AAoo" TargetMode="External"/><Relationship Id="rId137" Type="http://schemas.openxmlformats.org/officeDocument/2006/relationships/hyperlink" Target="https://l1nk.dev/4xtNU" TargetMode="External"/><Relationship Id="rId132" Type="http://schemas.openxmlformats.org/officeDocument/2006/relationships/hyperlink" Target="https://encurtador.com.br/TiVhH" TargetMode="External"/><Relationship Id="rId131" Type="http://schemas.openxmlformats.org/officeDocument/2006/relationships/hyperlink" Target="https://encurtador.com.br/KiFlX" TargetMode="External"/><Relationship Id="rId130" Type="http://schemas.openxmlformats.org/officeDocument/2006/relationships/hyperlink" Target="https://l1nk.dev/jPfcA" TargetMode="External"/><Relationship Id="rId136" Type="http://schemas.openxmlformats.org/officeDocument/2006/relationships/hyperlink" Target="https://encurtador.com.br/WGa6J" TargetMode="External"/><Relationship Id="rId135" Type="http://schemas.openxmlformats.org/officeDocument/2006/relationships/hyperlink" Target="https://encurtador.com.br/lTTFF" TargetMode="External"/><Relationship Id="rId134" Type="http://schemas.openxmlformats.org/officeDocument/2006/relationships/hyperlink" Target="https://encurtador.com.br/nwWLC" TargetMode="External"/><Relationship Id="rId133" Type="http://schemas.openxmlformats.org/officeDocument/2006/relationships/hyperlink" Target="https://encurtador.com.br/qhDRz" TargetMode="External"/><Relationship Id="rId62" Type="http://schemas.openxmlformats.org/officeDocument/2006/relationships/hyperlink" Target="https://surl.li/ypharj" TargetMode="External"/><Relationship Id="rId61" Type="http://schemas.openxmlformats.org/officeDocument/2006/relationships/hyperlink" Target="https://surl.li/fwsfkz" TargetMode="External"/><Relationship Id="rId64" Type="http://schemas.openxmlformats.org/officeDocument/2006/relationships/hyperlink" Target="https://surl.li/ypharj" TargetMode="External"/><Relationship Id="rId63" Type="http://schemas.openxmlformats.org/officeDocument/2006/relationships/hyperlink" Target="https://surl.li/fwsfkz" TargetMode="External"/><Relationship Id="rId66" Type="http://schemas.openxmlformats.org/officeDocument/2006/relationships/hyperlink" Target="https://surl.li/ypharj" TargetMode="External"/><Relationship Id="rId172" Type="http://schemas.openxmlformats.org/officeDocument/2006/relationships/hyperlink" Target="https://acesse.one/i2HcA" TargetMode="External"/><Relationship Id="rId65" Type="http://schemas.openxmlformats.org/officeDocument/2006/relationships/hyperlink" Target="https://surl.li/fwsfkz" TargetMode="External"/><Relationship Id="rId171" Type="http://schemas.openxmlformats.org/officeDocument/2006/relationships/hyperlink" Target="https://l1nk.dev/jeLuu" TargetMode="External"/><Relationship Id="rId68" Type="http://schemas.openxmlformats.org/officeDocument/2006/relationships/hyperlink" Target="https://surl.li/kcimyf" TargetMode="External"/><Relationship Id="rId170" Type="http://schemas.openxmlformats.org/officeDocument/2006/relationships/hyperlink" Target="https://acesse.one/brtbt" TargetMode="External"/><Relationship Id="rId67" Type="http://schemas.openxmlformats.org/officeDocument/2006/relationships/hyperlink" Target="https://surl.li/ceaaex" TargetMode="External"/><Relationship Id="rId60" Type="http://schemas.openxmlformats.org/officeDocument/2006/relationships/hyperlink" Target="https://surl.li/ypharj" TargetMode="External"/><Relationship Id="rId165" Type="http://schemas.openxmlformats.org/officeDocument/2006/relationships/hyperlink" Target="https://encurtador.com.br/6I7Kg" TargetMode="External"/><Relationship Id="rId69" Type="http://schemas.openxmlformats.org/officeDocument/2006/relationships/hyperlink" Target="https://surl.li/ceaaex" TargetMode="External"/><Relationship Id="rId164" Type="http://schemas.openxmlformats.org/officeDocument/2006/relationships/hyperlink" Target="https://l1nk.dev/9AAoo" TargetMode="External"/><Relationship Id="rId163" Type="http://schemas.openxmlformats.org/officeDocument/2006/relationships/hyperlink" Target="https://l1nk.dev/4xtNU" TargetMode="External"/><Relationship Id="rId162" Type="http://schemas.openxmlformats.org/officeDocument/2006/relationships/hyperlink" Target="https://l1nk.dev/9AAoo" TargetMode="External"/><Relationship Id="rId169" Type="http://schemas.openxmlformats.org/officeDocument/2006/relationships/hyperlink" Target="https://acesse.one/1EOyd" TargetMode="External"/><Relationship Id="rId168" Type="http://schemas.openxmlformats.org/officeDocument/2006/relationships/hyperlink" Target="https://l1nk.dev/ClRN4" TargetMode="External"/><Relationship Id="rId167" Type="http://schemas.openxmlformats.org/officeDocument/2006/relationships/hyperlink" Target="https://acesse.one/MAkXU" TargetMode="External"/><Relationship Id="rId166" Type="http://schemas.openxmlformats.org/officeDocument/2006/relationships/hyperlink" Target="https://l1nk.dev/9AAoo" TargetMode="External"/><Relationship Id="rId51" Type="http://schemas.openxmlformats.org/officeDocument/2006/relationships/hyperlink" Target="https://surl.li/fwsfkz" TargetMode="External"/><Relationship Id="rId50" Type="http://schemas.openxmlformats.org/officeDocument/2006/relationships/hyperlink" Target="https://surl.li/ypharj" TargetMode="External"/><Relationship Id="rId53" Type="http://schemas.openxmlformats.org/officeDocument/2006/relationships/hyperlink" Target="https://surl.li/fwsfkz" TargetMode="External"/><Relationship Id="rId52" Type="http://schemas.openxmlformats.org/officeDocument/2006/relationships/hyperlink" Target="https://surl.li/ypharj" TargetMode="External"/><Relationship Id="rId55" Type="http://schemas.openxmlformats.org/officeDocument/2006/relationships/hyperlink" Target="https://surl.li/fwsfkz" TargetMode="External"/><Relationship Id="rId161" Type="http://schemas.openxmlformats.org/officeDocument/2006/relationships/hyperlink" Target="https://l1nk.dev/4xtNU" TargetMode="External"/><Relationship Id="rId54" Type="http://schemas.openxmlformats.org/officeDocument/2006/relationships/hyperlink" Target="https://surl.li/ypharj" TargetMode="External"/><Relationship Id="rId160" Type="http://schemas.openxmlformats.org/officeDocument/2006/relationships/hyperlink" Target="https://l1nk.dev/9AAoo" TargetMode="External"/><Relationship Id="rId57" Type="http://schemas.openxmlformats.org/officeDocument/2006/relationships/hyperlink" Target="https://surl.li/fwsfkz" TargetMode="External"/><Relationship Id="rId56" Type="http://schemas.openxmlformats.org/officeDocument/2006/relationships/hyperlink" Target="https://surl.li/ypharj" TargetMode="External"/><Relationship Id="rId159" Type="http://schemas.openxmlformats.org/officeDocument/2006/relationships/hyperlink" Target="https://l1nk.dev/4xtNU" TargetMode="External"/><Relationship Id="rId59" Type="http://schemas.openxmlformats.org/officeDocument/2006/relationships/hyperlink" Target="https://surl.li/fwsfkz" TargetMode="External"/><Relationship Id="rId154" Type="http://schemas.openxmlformats.org/officeDocument/2006/relationships/hyperlink" Target="https://l1nk.dev/9AAoo" TargetMode="External"/><Relationship Id="rId58" Type="http://schemas.openxmlformats.org/officeDocument/2006/relationships/hyperlink" Target="https://surl.li/ypharj" TargetMode="External"/><Relationship Id="rId153" Type="http://schemas.openxmlformats.org/officeDocument/2006/relationships/hyperlink" Target="https://l1nk.dev/4xtNU" TargetMode="External"/><Relationship Id="rId152" Type="http://schemas.openxmlformats.org/officeDocument/2006/relationships/hyperlink" Target="https://l1nk.dev/9AAoo" TargetMode="External"/><Relationship Id="rId151" Type="http://schemas.openxmlformats.org/officeDocument/2006/relationships/hyperlink" Target="https://l1nk.dev/4xtNU" TargetMode="External"/><Relationship Id="rId158" Type="http://schemas.openxmlformats.org/officeDocument/2006/relationships/hyperlink" Target="https://l1nk.dev/9AAoo" TargetMode="External"/><Relationship Id="rId157" Type="http://schemas.openxmlformats.org/officeDocument/2006/relationships/hyperlink" Target="https://l1nk.dev/4xtNU" TargetMode="External"/><Relationship Id="rId156" Type="http://schemas.openxmlformats.org/officeDocument/2006/relationships/hyperlink" Target="https://l1nk.dev/9AAoo" TargetMode="External"/><Relationship Id="rId155" Type="http://schemas.openxmlformats.org/officeDocument/2006/relationships/hyperlink" Target="https://l1nk.dev/4xtNU" TargetMode="External"/><Relationship Id="rId107" Type="http://schemas.openxmlformats.org/officeDocument/2006/relationships/hyperlink" Target="https://l1nk.dev/3rCzL" TargetMode="External"/><Relationship Id="rId228" Type="http://schemas.openxmlformats.org/officeDocument/2006/relationships/hyperlink" Target="https://encurtador.com.br/sAXg" TargetMode="External"/><Relationship Id="rId106" Type="http://schemas.openxmlformats.org/officeDocument/2006/relationships/hyperlink" Target="https://acesse.one/cpFMa" TargetMode="External"/><Relationship Id="rId227" Type="http://schemas.openxmlformats.org/officeDocument/2006/relationships/hyperlink" Target="https://encurtador.com.br/RBNG" TargetMode="External"/><Relationship Id="rId105" Type="http://schemas.openxmlformats.org/officeDocument/2006/relationships/hyperlink" Target="https://l1nk.dev/3rCzL" TargetMode="External"/><Relationship Id="rId226" Type="http://schemas.openxmlformats.org/officeDocument/2006/relationships/hyperlink" Target="https://encurtador.com.br/OJXV" TargetMode="External"/><Relationship Id="rId104" Type="http://schemas.openxmlformats.org/officeDocument/2006/relationships/hyperlink" Target="https://acesse.one/cpFMa" TargetMode="External"/><Relationship Id="rId225" Type="http://schemas.openxmlformats.org/officeDocument/2006/relationships/hyperlink" Target="https://encurtador.com.br/kHQE" TargetMode="External"/><Relationship Id="rId109" Type="http://schemas.openxmlformats.org/officeDocument/2006/relationships/hyperlink" Target="https://l1nk.dev/3rCzL" TargetMode="External"/><Relationship Id="rId108" Type="http://schemas.openxmlformats.org/officeDocument/2006/relationships/hyperlink" Target="https://acesse.one/cpFMa" TargetMode="External"/><Relationship Id="rId229" Type="http://schemas.openxmlformats.org/officeDocument/2006/relationships/hyperlink" Target="https://encurtador.com.br/SGAr" TargetMode="External"/><Relationship Id="rId220" Type="http://schemas.openxmlformats.org/officeDocument/2006/relationships/hyperlink" Target="https://encurtador.com.br/sAXg" TargetMode="External"/><Relationship Id="rId103" Type="http://schemas.openxmlformats.org/officeDocument/2006/relationships/hyperlink" Target="https://l1nk.dev/3rCzL" TargetMode="External"/><Relationship Id="rId224" Type="http://schemas.openxmlformats.org/officeDocument/2006/relationships/hyperlink" Target="https://encurtador.com.br/mXwH" TargetMode="External"/><Relationship Id="rId102" Type="http://schemas.openxmlformats.org/officeDocument/2006/relationships/hyperlink" Target="https://acesse.one/cpFMa" TargetMode="External"/><Relationship Id="rId223" Type="http://schemas.openxmlformats.org/officeDocument/2006/relationships/hyperlink" Target="https://encurtador.com.br/mpeD" TargetMode="External"/><Relationship Id="rId101" Type="http://schemas.openxmlformats.org/officeDocument/2006/relationships/hyperlink" Target="https://l1nk.dev/3rCzL" TargetMode="External"/><Relationship Id="rId222" Type="http://schemas.openxmlformats.org/officeDocument/2006/relationships/hyperlink" Target="https://encurtador.com.br/mXwH" TargetMode="External"/><Relationship Id="rId100" Type="http://schemas.openxmlformats.org/officeDocument/2006/relationships/hyperlink" Target="https://acesse.one/cpFMa" TargetMode="External"/><Relationship Id="rId221" Type="http://schemas.openxmlformats.org/officeDocument/2006/relationships/hyperlink" Target="https://encurtador.com.br/qMbA" TargetMode="External"/><Relationship Id="rId217" Type="http://schemas.openxmlformats.org/officeDocument/2006/relationships/hyperlink" Target="https://encurtador.com.br/SxZP" TargetMode="External"/><Relationship Id="rId216" Type="http://schemas.openxmlformats.org/officeDocument/2006/relationships/hyperlink" Target="https://encurtador.com.br/sAXg" TargetMode="External"/><Relationship Id="rId215" Type="http://schemas.openxmlformats.org/officeDocument/2006/relationships/hyperlink" Target="https://encurtador.com.br/Lhax" TargetMode="External"/><Relationship Id="rId214" Type="http://schemas.openxmlformats.org/officeDocument/2006/relationships/hyperlink" Target="https://encurtador.com.br/sAXg" TargetMode="External"/><Relationship Id="rId219" Type="http://schemas.openxmlformats.org/officeDocument/2006/relationships/hyperlink" Target="https://app.auvo.com.br/informacoes/tarefa/e62b0460-e725-4f67-91a0-aabd4a5d4459?chave=KXlOGY-PEaTH7UzsPZ5x1g" TargetMode="External"/><Relationship Id="rId218" Type="http://schemas.openxmlformats.org/officeDocument/2006/relationships/hyperlink" Target="https://encurtador.com.br/sAXg" TargetMode="External"/><Relationship Id="rId213" Type="http://schemas.openxmlformats.org/officeDocument/2006/relationships/hyperlink" Target="https://encurtador.com.br/xjHQ" TargetMode="External"/><Relationship Id="rId212" Type="http://schemas.openxmlformats.org/officeDocument/2006/relationships/hyperlink" Target="https://encurtador.com.br/sAXg" TargetMode="External"/><Relationship Id="rId211" Type="http://schemas.openxmlformats.org/officeDocument/2006/relationships/hyperlink" Target="https://encurtador.com.br/dLIt" TargetMode="External"/><Relationship Id="rId210" Type="http://schemas.openxmlformats.org/officeDocument/2006/relationships/hyperlink" Target="https://encurtador.com.br/sAXg" TargetMode="External"/><Relationship Id="rId129" Type="http://schemas.openxmlformats.org/officeDocument/2006/relationships/hyperlink" Target="https://encurtador.com.br/zQgFk" TargetMode="External"/><Relationship Id="rId128" Type="http://schemas.openxmlformats.org/officeDocument/2006/relationships/hyperlink" Target="https://encurtador.com.br/8Xexm" TargetMode="External"/><Relationship Id="rId127" Type="http://schemas.openxmlformats.org/officeDocument/2006/relationships/hyperlink" Target="https://encurtador.com.br/YQpBC" TargetMode="External"/><Relationship Id="rId126" Type="http://schemas.openxmlformats.org/officeDocument/2006/relationships/hyperlink" Target="https://acesse.one/0CPlw" TargetMode="External"/><Relationship Id="rId121" Type="http://schemas.openxmlformats.org/officeDocument/2006/relationships/hyperlink" Target="https://encurtador.com.br/7l7S3" TargetMode="External"/><Relationship Id="rId242" Type="http://schemas.openxmlformats.org/officeDocument/2006/relationships/drawing" Target="../drawings/drawing6.xml"/><Relationship Id="rId120" Type="http://schemas.openxmlformats.org/officeDocument/2006/relationships/hyperlink" Target="https://acesse.one/2XVXK" TargetMode="External"/><Relationship Id="rId241" Type="http://schemas.openxmlformats.org/officeDocument/2006/relationships/hyperlink" Target="https://app.auvo.com.br/informacoes/tarefa/82eae9b4-63d8-4aa1-8977-03a8a5ce1747?chave=Ck6LaYDfWSUrx8k3AhD61w" TargetMode="External"/><Relationship Id="rId240" Type="http://schemas.openxmlformats.org/officeDocument/2006/relationships/hyperlink" Target="https://app.auvo.com.br/informacoes/tarefa/5b7868e1-1351-41af-bb88-a56a1a26c336?chave=Dz15ySqdzZH-o47O58kGpg" TargetMode="External"/><Relationship Id="rId125" Type="http://schemas.openxmlformats.org/officeDocument/2006/relationships/hyperlink" Target="https://encurtador.com.br/JsGPA" TargetMode="External"/><Relationship Id="rId124" Type="http://schemas.openxmlformats.org/officeDocument/2006/relationships/hyperlink" Target="https://l1nk.dev/3mKUi" TargetMode="External"/><Relationship Id="rId123" Type="http://schemas.openxmlformats.org/officeDocument/2006/relationships/hyperlink" Target="https://encurtador.com.br/h8x0A" TargetMode="External"/><Relationship Id="rId244" Type="http://schemas.openxmlformats.org/officeDocument/2006/relationships/table" Target="../tables/table7.xml"/><Relationship Id="rId122" Type="http://schemas.openxmlformats.org/officeDocument/2006/relationships/hyperlink" Target="https://l1nk.dev/tymeF" TargetMode="External"/><Relationship Id="rId95" Type="http://schemas.openxmlformats.org/officeDocument/2006/relationships/hyperlink" Target="https://l1nk.dev/3rCzL" TargetMode="External"/><Relationship Id="rId94" Type="http://schemas.openxmlformats.org/officeDocument/2006/relationships/hyperlink" Target="https://acesse.one/cpFMa" TargetMode="External"/><Relationship Id="rId97" Type="http://schemas.openxmlformats.org/officeDocument/2006/relationships/hyperlink" Target="https://l1nk.dev/3rCzL" TargetMode="External"/><Relationship Id="rId96" Type="http://schemas.openxmlformats.org/officeDocument/2006/relationships/hyperlink" Target="https://acesse.one/cpFMa" TargetMode="External"/><Relationship Id="rId99" Type="http://schemas.openxmlformats.org/officeDocument/2006/relationships/hyperlink" Target="https://l1nk.dev/3rCzL" TargetMode="External"/><Relationship Id="rId98" Type="http://schemas.openxmlformats.org/officeDocument/2006/relationships/hyperlink" Target="https://acesse.one/cpFMa" TargetMode="External"/><Relationship Id="rId91" Type="http://schemas.openxmlformats.org/officeDocument/2006/relationships/hyperlink" Target="https://l1nk.dev/3rCzL" TargetMode="External"/><Relationship Id="rId90" Type="http://schemas.openxmlformats.org/officeDocument/2006/relationships/hyperlink" Target="https://acesse.one/cpFMa" TargetMode="External"/><Relationship Id="rId93" Type="http://schemas.openxmlformats.org/officeDocument/2006/relationships/hyperlink" Target="https://l1nk.dev/3rCzL" TargetMode="External"/><Relationship Id="rId92" Type="http://schemas.openxmlformats.org/officeDocument/2006/relationships/hyperlink" Target="https://acesse.one/cpFMa" TargetMode="External"/><Relationship Id="rId118" Type="http://schemas.openxmlformats.org/officeDocument/2006/relationships/hyperlink" Target="https://l1nk.dev/lTc42" TargetMode="External"/><Relationship Id="rId239" Type="http://schemas.openxmlformats.org/officeDocument/2006/relationships/hyperlink" Target="https://app.auvo.com.br/informacoes/tarefa/fd249751-0022-456c-a8df-337466426aec?chave=BSWjNhTtkc-hpP6PulcLBQ" TargetMode="External"/><Relationship Id="rId117" Type="http://schemas.openxmlformats.org/officeDocument/2006/relationships/hyperlink" Target="https://encurtador.com.br/7l7S3" TargetMode="External"/><Relationship Id="rId238" Type="http://schemas.openxmlformats.org/officeDocument/2006/relationships/hyperlink" Target="https://app.auvo.com.br/informacoes/tarefa/b286c083-ced6-453d-a55e-b0c1c84af851?chave=3fciXPZ3gKO-QFE3Lxufew" TargetMode="External"/><Relationship Id="rId116" Type="http://schemas.openxmlformats.org/officeDocument/2006/relationships/hyperlink" Target="https://encurtador.com.br/BjJtQ" TargetMode="External"/><Relationship Id="rId237" Type="http://schemas.openxmlformats.org/officeDocument/2006/relationships/hyperlink" Target="https://app.auvo.com.br/informacoes/tarefa/a22991db-1a42-4075-ab50-71232ddf7533?chave=cI89k-hMKSU-1OEIqjrVCg" TargetMode="External"/><Relationship Id="rId115" Type="http://schemas.openxmlformats.org/officeDocument/2006/relationships/hyperlink" Target="https://encurtador.com.br/ohy0O" TargetMode="External"/><Relationship Id="rId236" Type="http://schemas.openxmlformats.org/officeDocument/2006/relationships/hyperlink" Target="https://app.auvo.com.br/informacoes/tarefa/783dd7ba-50bb-4718-a98e-c43430330c7f?chave=MEypGa0CQTaqnT2yDHFHag" TargetMode="External"/><Relationship Id="rId119" Type="http://schemas.openxmlformats.org/officeDocument/2006/relationships/hyperlink" Target="https://encurtador.com.br/ohy0O" TargetMode="External"/><Relationship Id="rId110" Type="http://schemas.openxmlformats.org/officeDocument/2006/relationships/hyperlink" Target="https://acesse.one/cpFMa" TargetMode="External"/><Relationship Id="rId231" Type="http://schemas.openxmlformats.org/officeDocument/2006/relationships/hyperlink" Target="https://encurtador.com.br/rjEb" TargetMode="External"/><Relationship Id="rId230" Type="http://schemas.openxmlformats.org/officeDocument/2006/relationships/hyperlink" Target="https://encurtador.com.br/sAXg" TargetMode="External"/><Relationship Id="rId114" Type="http://schemas.openxmlformats.org/officeDocument/2006/relationships/hyperlink" Target="https://encurtador.com.br/x347c" TargetMode="External"/><Relationship Id="rId235" Type="http://schemas.openxmlformats.org/officeDocument/2006/relationships/hyperlink" Target="https://app.auvo.com.br/informacoes/tarefa/5e54bcc5-ee72-4340-98f8-e99ee417add8?chave=FvKPKbSlgwafUOIe3pWAkg" TargetMode="External"/><Relationship Id="rId113" Type="http://schemas.openxmlformats.org/officeDocument/2006/relationships/hyperlink" Target="https://l1nk.dev/3rCzL" TargetMode="External"/><Relationship Id="rId234" Type="http://schemas.openxmlformats.org/officeDocument/2006/relationships/hyperlink" Target="https://app.auvo.com.br/informacoes/tarefa/31b58904-2bcf-4870-9443-768b72260c89?chave=ry9GypPpiPQ-zaD-X0aXIQ" TargetMode="External"/><Relationship Id="rId112" Type="http://schemas.openxmlformats.org/officeDocument/2006/relationships/hyperlink" Target="https://acesse.one/cpFMa" TargetMode="External"/><Relationship Id="rId233" Type="http://schemas.openxmlformats.org/officeDocument/2006/relationships/hyperlink" Target="https://app.auvo.com.br/informacoes/tarefa/ce844231-28bf-4b89-8dc1-152dfe21f422?chave=uh5trZOXRRJAo-I3r1KUtA" TargetMode="External"/><Relationship Id="rId111" Type="http://schemas.openxmlformats.org/officeDocument/2006/relationships/hyperlink" Target="https://l1nk.dev/3rCzL" TargetMode="External"/><Relationship Id="rId232" Type="http://schemas.openxmlformats.org/officeDocument/2006/relationships/hyperlink" Target="https://app.auvo.com.br/informacoes/tarefa/737a8e4e-8072-46db-9e5a-9d0258c16678?chave=re4cli3-r3TfjPdvp7d0RQ" TargetMode="External"/><Relationship Id="rId206" Type="http://schemas.openxmlformats.org/officeDocument/2006/relationships/hyperlink" Target="https://encurtador.com.br/sAXg" TargetMode="External"/><Relationship Id="rId205" Type="http://schemas.openxmlformats.org/officeDocument/2006/relationships/hyperlink" Target="https://encurtador.com.br/dVtL" TargetMode="External"/><Relationship Id="rId204" Type="http://schemas.openxmlformats.org/officeDocument/2006/relationships/hyperlink" Target="https://encurtador.com.br/sAXg" TargetMode="External"/><Relationship Id="rId203" Type="http://schemas.openxmlformats.org/officeDocument/2006/relationships/hyperlink" Target="https://encurtador.com.br/baYN" TargetMode="External"/><Relationship Id="rId209" Type="http://schemas.openxmlformats.org/officeDocument/2006/relationships/hyperlink" Target="https://app.auvo.com.br/informacoes/tarefa/289f66da-a6c6-4854-8c4b-063ebd9fa027?chave=DAB9ehn1ueBGiBUkgc7W6A" TargetMode="External"/><Relationship Id="rId208" Type="http://schemas.openxmlformats.org/officeDocument/2006/relationships/hyperlink" Target="https://encurtador.com.br/sAXg" TargetMode="External"/><Relationship Id="rId207" Type="http://schemas.openxmlformats.org/officeDocument/2006/relationships/hyperlink" Target="https://app.auvo.com.br/informacoes/tarefa/4738b60c-e20b-4f11-a92b-a1761639e99a?chave=4OMGB97k0mtftNXZ94nW8A" TargetMode="External"/><Relationship Id="rId202" Type="http://schemas.openxmlformats.org/officeDocument/2006/relationships/hyperlink" Target="https://encurtador.com.br/sAXg" TargetMode="External"/><Relationship Id="rId201" Type="http://schemas.openxmlformats.org/officeDocument/2006/relationships/hyperlink" Target="https://encurtador.com.br/HLMQ" TargetMode="External"/><Relationship Id="rId200" Type="http://schemas.openxmlformats.org/officeDocument/2006/relationships/hyperlink" Target="https://encurtador.com.br/sAX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ncurtador.com.br/YrNV" TargetMode="External"/><Relationship Id="rId2" Type="http://schemas.openxmlformats.org/officeDocument/2006/relationships/hyperlink" Target="https://encurtador.com.br/OxUW" TargetMode="External"/><Relationship Id="rId3" Type="http://schemas.openxmlformats.org/officeDocument/2006/relationships/hyperlink" Target="https://encurtador.com.br/YrNV" TargetMode="External"/><Relationship Id="rId4" Type="http://schemas.openxmlformats.org/officeDocument/2006/relationships/hyperlink" Target="https://encurtador.com.br/Sfna" TargetMode="External"/><Relationship Id="rId5" Type="http://schemas.openxmlformats.org/officeDocument/2006/relationships/drawing" Target="../drawings/drawing7.xml"/><Relationship Id="rId7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ncurtador.com.br/YrNV" TargetMode="External"/><Relationship Id="rId2" Type="http://schemas.openxmlformats.org/officeDocument/2006/relationships/hyperlink" Target="https://encurtador.com.br/OxUW" TargetMode="External"/><Relationship Id="rId3" Type="http://schemas.openxmlformats.org/officeDocument/2006/relationships/hyperlink" Target="https://encurtador.com.br/YrNV" TargetMode="External"/><Relationship Id="rId4" Type="http://schemas.openxmlformats.org/officeDocument/2006/relationships/hyperlink" Target="https://encurtador.com.br/Sfna" TargetMode="External"/><Relationship Id="rId5" Type="http://schemas.openxmlformats.org/officeDocument/2006/relationships/drawing" Target="../drawings/drawing8.xml"/><Relationship Id="rId7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pp3.auvo.com.br/informacoes/tarefa/a862aa4b-202b-4891-a103-c32317effd43?chave=r1NoRbqB1ttASQ3xh6hi8w" TargetMode="External"/><Relationship Id="rId42" Type="http://schemas.openxmlformats.org/officeDocument/2006/relationships/hyperlink" Target="https://drive.google.com/drive/u/1/folders/1FpX9Z9iz4faPvc4JTiW9X2bv0-JgdpAq" TargetMode="External"/><Relationship Id="rId41" Type="http://schemas.openxmlformats.org/officeDocument/2006/relationships/hyperlink" Target="https://drive.google.com/drive/u/1/folders/1FpX9Z9iz4faPvc4JTiW9X2bv0-JgdpAq" TargetMode="External"/><Relationship Id="rId44" Type="http://schemas.openxmlformats.org/officeDocument/2006/relationships/hyperlink" Target="https://drive.google.com/drive/u/1/folders/1FpX9Z9iz4faPvc4JTiW9X2bv0-JgdpAq" TargetMode="External"/><Relationship Id="rId43" Type="http://schemas.openxmlformats.org/officeDocument/2006/relationships/hyperlink" Target="https://drive.google.com/drive/u/1/folders/1FpX9Z9iz4faPvc4JTiW9X2bv0-JgdpAq" TargetMode="External"/><Relationship Id="rId46" Type="http://schemas.openxmlformats.org/officeDocument/2006/relationships/hyperlink" Target="https://app3.auvo.com.br/informacoes/tarefa/e31a463f-25bc-45ca-bc6e-d42d06e5f34a?chave=EJ9-YSJZwnlAN0TzysL-rg" TargetMode="External"/><Relationship Id="rId45" Type="http://schemas.openxmlformats.org/officeDocument/2006/relationships/hyperlink" Target="https://drive.google.com/drive/u/1/folders/1FpX9Z9iz4faPvc4JTiW9X2bv0-JgdpAq" TargetMode="External"/><Relationship Id="rId48" Type="http://schemas.openxmlformats.org/officeDocument/2006/relationships/hyperlink" Target="https://drive.google.com/drive/u/1/folders/1NDxxJ-88Tv9C586xBzSv6_JaOJAV4M42" TargetMode="External"/><Relationship Id="rId47" Type="http://schemas.openxmlformats.org/officeDocument/2006/relationships/hyperlink" Target="https://drive.google.com/drive/u/1/folders/1FpX9Z9iz4faPvc4JTiW9X2bv0-JgdpAq" TargetMode="External"/><Relationship Id="rId49" Type="http://schemas.openxmlformats.org/officeDocument/2006/relationships/hyperlink" Target="https://drive.google.com/drive/u/1/folders/1FpX9Z9iz4faPvc4JTiW9X2bv0-JgdpAq" TargetMode="External"/><Relationship Id="rId31" Type="http://schemas.openxmlformats.org/officeDocument/2006/relationships/hyperlink" Target="https://drive.google.com/drive/u/1/folders/1FpX9Z9iz4faPvc4JTiW9X2bv0-JgdpAq" TargetMode="External"/><Relationship Id="rId30" Type="http://schemas.openxmlformats.org/officeDocument/2006/relationships/hyperlink" Target="https://drive.google.com/drive/u/1/folders/1FpX9Z9iz4faPvc4JTiW9X2bv0-JgdpAq" TargetMode="External"/><Relationship Id="rId33" Type="http://schemas.openxmlformats.org/officeDocument/2006/relationships/hyperlink" Target="https://drive.google.com/drive/u/1/folders/1FpX9Z9iz4faPvc4JTiW9X2bv0-JgdpAq" TargetMode="External"/><Relationship Id="rId32" Type="http://schemas.openxmlformats.org/officeDocument/2006/relationships/hyperlink" Target="https://drive.google.com/drive/u/1/folders/1FpX9Z9iz4faPvc4JTiW9X2bv0-JgdpAq" TargetMode="External"/><Relationship Id="rId35" Type="http://schemas.openxmlformats.org/officeDocument/2006/relationships/hyperlink" Target="https://drive.google.com/drive/u/1/folders/1FpX9Z9iz4faPvc4JTiW9X2bv0-JgdpAq" TargetMode="External"/><Relationship Id="rId34" Type="http://schemas.openxmlformats.org/officeDocument/2006/relationships/hyperlink" Target="https://drive.google.com/drive/u/1/folders/1FpX9Z9iz4faPvc4JTiW9X2bv0-JgdpAq" TargetMode="External"/><Relationship Id="rId37" Type="http://schemas.openxmlformats.org/officeDocument/2006/relationships/hyperlink" Target="https://drive.google.com/drive/u/1/folders/1FpX9Z9iz4faPvc4JTiW9X2bv0-JgdpAq" TargetMode="External"/><Relationship Id="rId36" Type="http://schemas.openxmlformats.org/officeDocument/2006/relationships/hyperlink" Target="https://app3.auvo.com.br/informacoes/tarefa/d2862d49-bb49-4f6b-a2bb-f33407dfb79f?chave=lKS4Gku18oVa2N5-PphLHA" TargetMode="External"/><Relationship Id="rId39" Type="http://schemas.openxmlformats.org/officeDocument/2006/relationships/hyperlink" Target="https://drive.google.com/drive/u/1/folders/1FpX9Z9iz4faPvc4JTiW9X2bv0-JgdpAq" TargetMode="External"/><Relationship Id="rId38" Type="http://schemas.openxmlformats.org/officeDocument/2006/relationships/hyperlink" Target="https://app3.auvo.com.br/informacoes/tarefa/69ee320b-2bbe-4177-8ab0-fca6a4c9cc36?chave=aFIK-Dz9LuHjuXqok7Awxg" TargetMode="External"/><Relationship Id="rId20" Type="http://schemas.openxmlformats.org/officeDocument/2006/relationships/hyperlink" Target="https://app3.auvo.com.br/informacoes/tarefa/597619e9-bc29-4f58-b205-48d6b57270c7?chave=Mtpypbat4pEz8f61uwHqvg" TargetMode="External"/><Relationship Id="rId22" Type="http://schemas.openxmlformats.org/officeDocument/2006/relationships/hyperlink" Target="https://app3.auvo.com.br/informacoes/tarefa/7b973a8f-5802-4b74-9775-659a67413666?chave=4did-xyl95rDubX23mruBg" TargetMode="External"/><Relationship Id="rId21" Type="http://schemas.openxmlformats.org/officeDocument/2006/relationships/hyperlink" Target="https://app3.auvo.com.br/informacoes/tarefa/71681104-783b-4905-afa0-ed1543970afa?chave=K0r7R4JZoSNulXZ-ijChFg" TargetMode="External"/><Relationship Id="rId24" Type="http://schemas.openxmlformats.org/officeDocument/2006/relationships/hyperlink" Target="https://app3.auvo.com.br/informacoes/tarefa/e7cd8106-456b-4630-94a4-b984a9aac031?chave=CPmtGWGCBozIfi2Om0V5CA" TargetMode="External"/><Relationship Id="rId23" Type="http://schemas.openxmlformats.org/officeDocument/2006/relationships/hyperlink" Target="https://drive.google.com/drive/u/1/folders/1FpX9Z9iz4faPvc4JTiW9X2bv0-JgdpAq" TargetMode="External"/><Relationship Id="rId26" Type="http://schemas.openxmlformats.org/officeDocument/2006/relationships/hyperlink" Target="https://app3.auvo.com.br/informacoes/tarefa/48d2875f-5739-4889-abcf-307d2a76ef6b?chave=j8WjN2v-AEUFkllaMhiDpA" TargetMode="External"/><Relationship Id="rId25" Type="http://schemas.openxmlformats.org/officeDocument/2006/relationships/hyperlink" Target="https://drive.google.com/drive/u/1/folders/1FpX9Z9iz4faPvc4JTiW9X2bv0-JgdpAq" TargetMode="External"/><Relationship Id="rId28" Type="http://schemas.openxmlformats.org/officeDocument/2006/relationships/hyperlink" Target="https://app3.auvo.com.br/informacoes/tarefa/23fe7f9b-22ed-4473-8734-ea1bbbff4291?chave=yVh1j7Sb9PJEuNcZdhbb8Q" TargetMode="External"/><Relationship Id="rId27" Type="http://schemas.openxmlformats.org/officeDocument/2006/relationships/hyperlink" Target="https://drive.google.com/drive/u/1/folders/1FpX9Z9iz4faPvc4JTiW9X2bv0-JgdpAq" TargetMode="External"/><Relationship Id="rId29" Type="http://schemas.openxmlformats.org/officeDocument/2006/relationships/hyperlink" Target="https://drive.google.com/drive/u/1/folders/1FpX9Z9iz4faPvc4JTiW9X2bv0-JgdpAq" TargetMode="External"/><Relationship Id="rId11" Type="http://schemas.openxmlformats.org/officeDocument/2006/relationships/hyperlink" Target="https://drive.google.com/drive/u/1/folders/1VTR9ksgl3b9aTFNDjGxsMpv2PdwHwZ4n" TargetMode="External"/><Relationship Id="rId10" Type="http://schemas.openxmlformats.org/officeDocument/2006/relationships/hyperlink" Target="https://drive.google.com/drive/u/1/folders/1tvftl2zYBiGbradKznMCqWBdPI3NQQ42" TargetMode="External"/><Relationship Id="rId13" Type="http://schemas.openxmlformats.org/officeDocument/2006/relationships/hyperlink" Target="https://drive.google.com/drive/u/1/folders/1wMw88ty9jBjnbXGsgX0rAXblKsKsW7cv" TargetMode="External"/><Relationship Id="rId12" Type="http://schemas.openxmlformats.org/officeDocument/2006/relationships/hyperlink" Target="https://drive.google.com/drive/u/1/folders/14TnmgpjG7NAUgZNICburWQE25B5k7v4o" TargetMode="External"/><Relationship Id="rId15" Type="http://schemas.openxmlformats.org/officeDocument/2006/relationships/hyperlink" Target="https://drive.google.com/drive/u/1/folders/1abIRzGo_RNHY5QD8PcO_7KXWV7kmN_xI" TargetMode="External"/><Relationship Id="rId14" Type="http://schemas.openxmlformats.org/officeDocument/2006/relationships/hyperlink" Target="https://drive.google.com/drive/u/1/folders/1anQvLkPkb4SxCd1q9W4PKA_wrBIPxOcZ" TargetMode="External"/><Relationship Id="rId17" Type="http://schemas.openxmlformats.org/officeDocument/2006/relationships/hyperlink" Target="https://drive.google.com/drive/u/1/folders/1ndy6B0xRiuMNDr5M3nrBqp9mTrpD2ja9" TargetMode="External"/><Relationship Id="rId16" Type="http://schemas.openxmlformats.org/officeDocument/2006/relationships/hyperlink" Target="https://app3.auvo.com.br/informacoes/tarefa/b8148e60-a57e-4fbb-91a5-435a28816d75?chave=n4G-6fAjPepVe43Dcaka3w" TargetMode="External"/><Relationship Id="rId19" Type="http://schemas.openxmlformats.org/officeDocument/2006/relationships/hyperlink" Target="https://drive.google.com/drive/u/1/folders/1Nzx0dDCo50eyNpc5DYRaTxAXsou8xhAO" TargetMode="External"/><Relationship Id="rId18" Type="http://schemas.openxmlformats.org/officeDocument/2006/relationships/hyperlink" Target="https://drive.google.com/drive/u/1/folders/16ntIWzLg9UMAjzaI3T_fVo6nPrea4y-w" TargetMode="External"/><Relationship Id="rId84" Type="http://schemas.openxmlformats.org/officeDocument/2006/relationships/hyperlink" Target="https://app3.auvo.com.br/informacoes/tarefa/f27f2ff3-86ab-41b2-8796-bd47a740a268?chave=yBC8kzhGTMjEvDMasEHDtQ" TargetMode="External"/><Relationship Id="rId83" Type="http://schemas.openxmlformats.org/officeDocument/2006/relationships/hyperlink" Target="https://drive.google.com/drive/u/1/folders/1TXxDlWrq2FgY5w_3-piw6NtZLGlREAoG" TargetMode="External"/><Relationship Id="rId85" Type="http://schemas.openxmlformats.org/officeDocument/2006/relationships/drawing" Target="../drawings/drawing9.xml"/><Relationship Id="rId87" Type="http://schemas.openxmlformats.org/officeDocument/2006/relationships/table" Target="../tables/table10.xml"/><Relationship Id="rId80" Type="http://schemas.openxmlformats.org/officeDocument/2006/relationships/hyperlink" Target="https://drive.google.com/drive/u/1/folders/158ggacgcx2-oQal2eON69t-MukZbLuQD" TargetMode="External"/><Relationship Id="rId82" Type="http://schemas.openxmlformats.org/officeDocument/2006/relationships/hyperlink" Target="https://drive.google.com/drive/u/1/folders/11IKMwg7WNuq_ZBbVIdHrB0ycEVd-n3cG" TargetMode="External"/><Relationship Id="rId81" Type="http://schemas.openxmlformats.org/officeDocument/2006/relationships/hyperlink" Target="https://drive.google.com/drive/u/1/folders/1ES5pXcVrOWEMZHmuTk9aazBryE-Cc6gm" TargetMode="External"/><Relationship Id="rId1" Type="http://schemas.openxmlformats.org/officeDocument/2006/relationships/hyperlink" Target="https://drive.google.com/drive/u/1/folders/1yVmYuO9mUXVAklaUx6VvsiJXSyK5I1cG" TargetMode="External"/><Relationship Id="rId2" Type="http://schemas.openxmlformats.org/officeDocument/2006/relationships/hyperlink" Target="https://app3.auvo.com.br/informacoes/tarefa/6071e2b4-2b1f-4410-867f-2acd65ca0651?chave=BBtYkSLkNrLCIJc-yQy-SA" TargetMode="External"/><Relationship Id="rId3" Type="http://schemas.openxmlformats.org/officeDocument/2006/relationships/hyperlink" Target="https://drive.google.com/drive/u/1/folders/1aAORYNqucpLZ7VUwbolKx1S4EMiwudcS" TargetMode="External"/><Relationship Id="rId4" Type="http://schemas.openxmlformats.org/officeDocument/2006/relationships/hyperlink" Target="https://drive.google.com/drive/u/1/folders/1z-3Ivec7u_6zOlaYQ2DduOGPKOaB0zhq" TargetMode="External"/><Relationship Id="rId9" Type="http://schemas.openxmlformats.org/officeDocument/2006/relationships/hyperlink" Target="https://drive.google.com/drive/u/1/folders/1nsNaHEjAGgFkBIh_JVxeyh2vvpdK_gh4" TargetMode="External"/><Relationship Id="rId5" Type="http://schemas.openxmlformats.org/officeDocument/2006/relationships/hyperlink" Target="https://app3.auvo.com.br/informacoes/tarefa/607b2a4a-0a9e-4a52-af30-62e13218acc7?chave=PLrvhrpR0uarJtY1WCXT1g" TargetMode="External"/><Relationship Id="rId6" Type="http://schemas.openxmlformats.org/officeDocument/2006/relationships/hyperlink" Target="https://drive.google.com/drive/u/1/folders/1L9Wjoedjeq8PVu1TLyEQMHbJA3WmfOYe" TargetMode="External"/><Relationship Id="rId7" Type="http://schemas.openxmlformats.org/officeDocument/2006/relationships/hyperlink" Target="https://drive.google.com/drive/u/1/folders/19LEURRlFYJs9jOPHiMMfSjW-xxTWKncZ" TargetMode="External"/><Relationship Id="rId8" Type="http://schemas.openxmlformats.org/officeDocument/2006/relationships/hyperlink" Target="https://drive.google.com/drive/u/1/folders/1bHn-SqnGsmS3NDVN_GSesk4WPoTHln8X" TargetMode="External"/><Relationship Id="rId73" Type="http://schemas.openxmlformats.org/officeDocument/2006/relationships/hyperlink" Target="https://drive.google.com/drive/u/1/folders/1FpX9Z9iz4faPvc4JTiW9X2bv0-JgdpAq" TargetMode="External"/><Relationship Id="rId72" Type="http://schemas.openxmlformats.org/officeDocument/2006/relationships/hyperlink" Target="https://drive.google.com/drive/u/1/folders/1FpX9Z9iz4faPvc4JTiW9X2bv0-JgdpAq" TargetMode="External"/><Relationship Id="rId75" Type="http://schemas.openxmlformats.org/officeDocument/2006/relationships/hyperlink" Target="https://drive.google.com/drive/u/1/folders/1vlX-deaZKolr4-MNLTAatoOFiU8G5eH3" TargetMode="External"/><Relationship Id="rId74" Type="http://schemas.openxmlformats.org/officeDocument/2006/relationships/hyperlink" Target="https://drive.google.com/drive/u/1/folders/1FpX9Z9iz4faPvc4JTiW9X2bv0-JgdpAq" TargetMode="External"/><Relationship Id="rId77" Type="http://schemas.openxmlformats.org/officeDocument/2006/relationships/hyperlink" Target="https://drive.google.com/drive/u/1/folders/1gWkORPLFwMTyy5nPpuEdXr2JXwHCwtSR" TargetMode="External"/><Relationship Id="rId76" Type="http://schemas.openxmlformats.org/officeDocument/2006/relationships/hyperlink" Target="https://drive.google.com/drive/u/1/folders/1aFxQ9BUblhsdyzofhKB5nKv0WyNyUT62" TargetMode="External"/><Relationship Id="rId79" Type="http://schemas.openxmlformats.org/officeDocument/2006/relationships/hyperlink" Target="https://drive.google.com/drive/u/1/folders/1wB3YcRDwYV0rH-T8mAELnvcB67ZYuaXA" TargetMode="External"/><Relationship Id="rId78" Type="http://schemas.openxmlformats.org/officeDocument/2006/relationships/hyperlink" Target="https://drive.google.com/drive/u/1/folders/19zyn84WeXwls5Bq1qeQ-3z5SfdGsD6RD" TargetMode="External"/><Relationship Id="rId71" Type="http://schemas.openxmlformats.org/officeDocument/2006/relationships/hyperlink" Target="https://drive.google.com/drive/u/1/folders/1FpX9Z9iz4faPvc4JTiW9X2bv0-JgdpAq" TargetMode="External"/><Relationship Id="rId70" Type="http://schemas.openxmlformats.org/officeDocument/2006/relationships/hyperlink" Target="https://drive.google.com/drive/u/1/folders/1FpX9Z9iz4faPvc4JTiW9X2bv0-JgdpAq" TargetMode="External"/><Relationship Id="rId62" Type="http://schemas.openxmlformats.org/officeDocument/2006/relationships/hyperlink" Target="https://drive.google.com/drive/u/1/folders/1FpX9Z9iz4faPvc4JTiW9X2bv0-JgdpAq" TargetMode="External"/><Relationship Id="rId61" Type="http://schemas.openxmlformats.org/officeDocument/2006/relationships/hyperlink" Target="https://drive.google.com/drive/u/1/folders/1FpX9Z9iz4faPvc4JTiW9X2bv0-JgdpAq" TargetMode="External"/><Relationship Id="rId64" Type="http://schemas.openxmlformats.org/officeDocument/2006/relationships/hyperlink" Target="https://drive.google.com/drive/u/1/folders/1FpX9Z9iz4faPvc4JTiW9X2bv0-JgdpAq" TargetMode="External"/><Relationship Id="rId63" Type="http://schemas.openxmlformats.org/officeDocument/2006/relationships/hyperlink" Target="https://drive.google.com/drive/u/1/folders/1FpX9Z9iz4faPvc4JTiW9X2bv0-JgdpAq" TargetMode="External"/><Relationship Id="rId66" Type="http://schemas.openxmlformats.org/officeDocument/2006/relationships/hyperlink" Target="https://drive.google.com/drive/u/1/folders/1FpX9Z9iz4faPvc4JTiW9X2bv0-JgdpAq" TargetMode="External"/><Relationship Id="rId65" Type="http://schemas.openxmlformats.org/officeDocument/2006/relationships/hyperlink" Target="https://app3.auvo.com.br/informacoes/tarefa/2927c5de-852c-4a00-9662-73ebeff21e44?chave=7qvUibjfi-JfOf5hOpC3Jg" TargetMode="External"/><Relationship Id="rId68" Type="http://schemas.openxmlformats.org/officeDocument/2006/relationships/hyperlink" Target="https://drive.google.com/drive/u/1/folders/1FpX9Z9iz4faPvc4JTiW9X2bv0-JgdpAq" TargetMode="External"/><Relationship Id="rId67" Type="http://schemas.openxmlformats.org/officeDocument/2006/relationships/hyperlink" Target="https://drive.google.com/drive/u/1/folders/1FpX9Z9iz4faPvc4JTiW9X2bv0-JgdpAq" TargetMode="External"/><Relationship Id="rId60" Type="http://schemas.openxmlformats.org/officeDocument/2006/relationships/hyperlink" Target="https://drive.google.com/drive/u/1/folders/1FpX9Z9iz4faPvc4JTiW9X2bv0-JgdpAq" TargetMode="External"/><Relationship Id="rId69" Type="http://schemas.openxmlformats.org/officeDocument/2006/relationships/hyperlink" Target="https://drive.google.com/drive/u/1/folders/1FpX9Z9iz4faPvc4JTiW9X2bv0-JgdpAq" TargetMode="External"/><Relationship Id="rId51" Type="http://schemas.openxmlformats.org/officeDocument/2006/relationships/hyperlink" Target="https://drive.google.com/drive/u/1/folders/1FpX9Z9iz4faPvc4JTiW9X2bv0-JgdpAq" TargetMode="External"/><Relationship Id="rId50" Type="http://schemas.openxmlformats.org/officeDocument/2006/relationships/hyperlink" Target="https://app3.auvo.com.br/informacoes/tarefa/6db41b91-7b8f-4fde-866c-ca81cf49b0c2?chave=HFSwiXWsArbZL-iNFTrPTg" TargetMode="External"/><Relationship Id="rId53" Type="http://schemas.openxmlformats.org/officeDocument/2006/relationships/hyperlink" Target="https://app3.auvo.com.br/informacoes/tarefa/ddb3ee24-fcb9-4671-bdd5-eb4aa9a52f48?chave=AMbad1cjhGj2VeWAKUG-Ww" TargetMode="External"/><Relationship Id="rId52" Type="http://schemas.openxmlformats.org/officeDocument/2006/relationships/hyperlink" Target="https://drive.google.com/drive/u/1/folders/1FpX9Z9iz4faPvc4JTiW9X2bv0-JgdpAq" TargetMode="External"/><Relationship Id="rId55" Type="http://schemas.openxmlformats.org/officeDocument/2006/relationships/hyperlink" Target="http://app3.auvo.com.br/informacoes/tarefa/b44936f4-1701-4529-b13a-90fef340f3f6?chave=Yd9tWaK0jcWOYd51zdOdrA" TargetMode="External"/><Relationship Id="rId54" Type="http://schemas.openxmlformats.org/officeDocument/2006/relationships/hyperlink" Target="https://drive.google.com/drive/u/1/folders/1FpX9Z9iz4faPvc4JTiW9X2bv0-JgdpAq" TargetMode="External"/><Relationship Id="rId57" Type="http://schemas.openxmlformats.org/officeDocument/2006/relationships/hyperlink" Target="https://drive.google.com/drive/u/1/folders/1FpX9Z9iz4faPvc4JTiW9X2bv0-JgdpAq" TargetMode="External"/><Relationship Id="rId56" Type="http://schemas.openxmlformats.org/officeDocument/2006/relationships/hyperlink" Target="https://drive.google.com/drive/u/1/folders/1FpX9Z9iz4faPvc4JTiW9X2bv0-JgdpAq" TargetMode="External"/><Relationship Id="rId59" Type="http://schemas.openxmlformats.org/officeDocument/2006/relationships/hyperlink" Target="https://drive.google.com/drive/u/1/folders/1FpX9Z9iz4faPvc4JTiW9X2bv0-JgdpAq" TargetMode="External"/><Relationship Id="rId58" Type="http://schemas.openxmlformats.org/officeDocument/2006/relationships/hyperlink" Target="https://drive.google.com/drive/u/1/folders/1FpX9Z9iz4faPvc4JTiW9X2bv0-JgdpAq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" Type="http://schemas.openxmlformats.org/officeDocument/2006/relationships/drawing" Target="../drawings/drawing11.xml"/><Relationship Id="rId9" Type="http://schemas.openxmlformats.org/officeDocument/2006/relationships/table" Target="../tables/table14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9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4.xml"/><Relationship Id="rId22" Type="http://schemas.openxmlformats.org/officeDocument/2006/relationships/table" Target="../tables/table26.xml"/><Relationship Id="rId21" Type="http://schemas.openxmlformats.org/officeDocument/2006/relationships/table" Target="../tables/table25.xml"/><Relationship Id="rId24" Type="http://schemas.openxmlformats.org/officeDocument/2006/relationships/table" Target="../tables/table28.xml"/><Relationship Id="rId23" Type="http://schemas.openxmlformats.org/officeDocument/2006/relationships/table" Target="../tables/table27.xml"/><Relationship Id="rId26" Type="http://schemas.openxmlformats.org/officeDocument/2006/relationships/table" Target="../tables/table30.xml"/><Relationship Id="rId25" Type="http://schemas.openxmlformats.org/officeDocument/2006/relationships/table" Target="../tables/table29.xml"/><Relationship Id="rId28" Type="http://schemas.openxmlformats.org/officeDocument/2006/relationships/table" Target="../tables/table32.xml"/><Relationship Id="rId27" Type="http://schemas.openxmlformats.org/officeDocument/2006/relationships/table" Target="../tables/table31.xml"/><Relationship Id="rId29" Type="http://schemas.openxmlformats.org/officeDocument/2006/relationships/table" Target="../tables/table33.xml"/><Relationship Id="rId17" Type="http://schemas.openxmlformats.org/officeDocument/2006/relationships/table" Target="../tables/table21.xml"/><Relationship Id="rId16" Type="http://schemas.openxmlformats.org/officeDocument/2006/relationships/table" Target="../tables/table20.xml"/><Relationship Id="rId19" Type="http://schemas.openxmlformats.org/officeDocument/2006/relationships/table" Target="../tables/table23.xml"/><Relationship Id="rId18" Type="http://schemas.openxmlformats.org/officeDocument/2006/relationships/table" Target="../tables/table22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6.13"/>
    <col customWidth="1" min="2" max="2" width="20.0"/>
    <col customWidth="1" min="3" max="3" width="32.63"/>
    <col customWidth="1" min="4" max="5" width="29.38"/>
    <col customWidth="1" min="6" max="7" width="26.25"/>
    <col customWidth="1" min="8" max="8" width="74.25"/>
    <col customWidth="1" min="9" max="9" width="52.13"/>
    <col customWidth="1" min="10" max="10" width="67.0"/>
    <col customWidth="1" min="11" max="11" width="37.63"/>
    <col customWidth="1" min="12" max="12" width="36.75"/>
    <col customWidth="1" min="13" max="13" width="67.5"/>
    <col customWidth="1" min="14" max="14" width="35.5"/>
    <col customWidth="1" min="15" max="15" width="19.25"/>
    <col customWidth="1" min="16" max="18" width="24.88"/>
  </cols>
  <sheetData>
    <row r="4" ht="39.0" customHeight="1"/>
    <row r="5" ht="45.0" customHeight="1">
      <c r="A5" s="4" t="s">
        <v>2</v>
      </c>
      <c r="B5" s="6" t="s">
        <v>6</v>
      </c>
      <c r="C5" s="8" t="s">
        <v>10</v>
      </c>
      <c r="D5" s="9" t="s">
        <v>14</v>
      </c>
      <c r="E5" s="8" t="s">
        <v>17</v>
      </c>
      <c r="F5" s="9" t="s">
        <v>20</v>
      </c>
      <c r="G5" s="9" t="s">
        <v>23</v>
      </c>
      <c r="H5" s="8" t="s">
        <v>26</v>
      </c>
      <c r="I5" s="8" t="s">
        <v>27</v>
      </c>
      <c r="J5" s="8" t="s">
        <v>28</v>
      </c>
      <c r="K5" s="8" t="s">
        <v>30</v>
      </c>
      <c r="L5" s="9" t="s">
        <v>31</v>
      </c>
      <c r="M5" s="14" t="s">
        <v>33</v>
      </c>
      <c r="N5" s="8" t="s">
        <v>34</v>
      </c>
      <c r="O5" s="8" t="s">
        <v>38</v>
      </c>
      <c r="P5" s="16" t="s">
        <v>41</v>
      </c>
      <c r="Q5" s="1"/>
      <c r="R5" s="1"/>
    </row>
    <row r="6" ht="90.0" customHeight="1">
      <c r="A6" s="19" t="s">
        <v>45</v>
      </c>
      <c r="B6" s="23">
        <v>46525.0</v>
      </c>
      <c r="C6" s="25" t="s">
        <v>51</v>
      </c>
      <c r="D6" s="26" t="s">
        <v>54</v>
      </c>
      <c r="E6" s="25" t="s">
        <v>55</v>
      </c>
      <c r="F6" s="29">
        <v>2260636.8</v>
      </c>
      <c r="G6" s="29">
        <v>188386.4</v>
      </c>
      <c r="H6" s="26" t="s">
        <v>58</v>
      </c>
      <c r="I6" s="26" t="s">
        <v>59</v>
      </c>
      <c r="J6" s="32" t="s">
        <v>61</v>
      </c>
      <c r="K6" s="34" t="s">
        <v>61</v>
      </c>
      <c r="L6" s="35" t="s">
        <v>61</v>
      </c>
      <c r="M6" s="38" t="s">
        <v>65</v>
      </c>
      <c r="N6" s="26" t="s">
        <v>68</v>
      </c>
      <c r="O6" s="39">
        <v>46148.0</v>
      </c>
      <c r="P6" s="40" t="s">
        <v>69</v>
      </c>
      <c r="Q6" s="41"/>
      <c r="R6" s="41"/>
    </row>
    <row r="7" ht="90.0" customHeight="1">
      <c r="A7" s="19" t="s">
        <v>71</v>
      </c>
      <c r="B7" s="23">
        <v>46338.0</v>
      </c>
      <c r="C7" s="25" t="s">
        <v>73</v>
      </c>
      <c r="D7" s="26" t="s">
        <v>54</v>
      </c>
      <c r="E7" s="25" t="s">
        <v>76</v>
      </c>
      <c r="F7" s="29">
        <v>324000.0</v>
      </c>
      <c r="G7" s="29">
        <v>33750.0</v>
      </c>
      <c r="H7" s="26" t="s">
        <v>79</v>
      </c>
      <c r="I7" s="26" t="s">
        <v>80</v>
      </c>
      <c r="J7" s="44" t="s">
        <v>82</v>
      </c>
      <c r="K7" s="46" t="s">
        <v>84</v>
      </c>
      <c r="L7" s="47" t="s">
        <v>86</v>
      </c>
      <c r="M7" s="38" t="s">
        <v>87</v>
      </c>
      <c r="N7" s="26" t="s">
        <v>88</v>
      </c>
      <c r="O7" s="39">
        <v>46142.0</v>
      </c>
      <c r="P7" s="40" t="s">
        <v>69</v>
      </c>
      <c r="Q7" s="41"/>
      <c r="R7" s="41"/>
    </row>
    <row r="8" ht="90.0" customHeight="1">
      <c r="A8" s="52" t="s">
        <v>92</v>
      </c>
      <c r="B8" s="55">
        <v>46288.0</v>
      </c>
      <c r="C8" s="56" t="s">
        <v>95</v>
      </c>
      <c r="D8" s="26" t="s">
        <v>54</v>
      </c>
      <c r="E8" s="57" t="s">
        <v>76</v>
      </c>
      <c r="F8" s="58">
        <v>798000.0</v>
      </c>
      <c r="G8" s="58">
        <v>52150.0</v>
      </c>
      <c r="H8" s="59" t="s">
        <v>101</v>
      </c>
      <c r="I8" s="59" t="s">
        <v>102</v>
      </c>
      <c r="J8" s="34" t="s">
        <v>61</v>
      </c>
      <c r="K8" s="34" t="s">
        <v>61</v>
      </c>
      <c r="L8" s="47" t="s">
        <v>61</v>
      </c>
      <c r="M8" s="38" t="s">
        <v>68</v>
      </c>
      <c r="N8" s="57" t="s">
        <v>68</v>
      </c>
      <c r="O8" s="39">
        <v>46148.0</v>
      </c>
      <c r="P8" s="40" t="s">
        <v>69</v>
      </c>
      <c r="Q8" s="41"/>
      <c r="R8" s="41"/>
    </row>
    <row r="9" ht="90.0" customHeight="1">
      <c r="A9" s="19" t="s">
        <v>110</v>
      </c>
      <c r="B9" s="23">
        <v>46418.0</v>
      </c>
      <c r="C9" s="26" t="s">
        <v>112</v>
      </c>
      <c r="D9" s="26" t="s">
        <v>54</v>
      </c>
      <c r="E9" s="26" t="s">
        <v>116</v>
      </c>
      <c r="F9" s="29">
        <v>1176000.0</v>
      </c>
      <c r="G9" s="29">
        <v>102468.67</v>
      </c>
      <c r="H9" s="26" t="s">
        <v>119</v>
      </c>
      <c r="I9" s="61" t="s">
        <v>121</v>
      </c>
      <c r="J9" s="62" t="s">
        <v>61</v>
      </c>
      <c r="K9" s="62" t="s">
        <v>61</v>
      </c>
      <c r="L9" s="63" t="s">
        <v>61</v>
      </c>
      <c r="M9" s="64" t="s">
        <v>68</v>
      </c>
      <c r="N9" s="26" t="s">
        <v>68</v>
      </c>
      <c r="O9" s="65">
        <v>46148.0</v>
      </c>
      <c r="P9" s="66" t="s">
        <v>69</v>
      </c>
    </row>
    <row r="10" ht="61.5" customHeight="1">
      <c r="B10" s="67"/>
      <c r="L10" s="68"/>
      <c r="M10" s="69"/>
      <c r="Q10" s="41"/>
      <c r="R10" s="41"/>
    </row>
    <row r="11">
      <c r="B11" s="67"/>
      <c r="C11" s="70" t="s">
        <v>130</v>
      </c>
      <c r="L11" s="68"/>
      <c r="M11" s="69"/>
    </row>
    <row r="12">
      <c r="B12" s="67"/>
      <c r="C12" s="71" t="s">
        <v>132</v>
      </c>
      <c r="L12" s="68"/>
      <c r="M12" s="69"/>
    </row>
    <row r="13">
      <c r="B13" s="67"/>
      <c r="C13" s="72" t="s">
        <v>135</v>
      </c>
      <c r="L13" s="68"/>
      <c r="M13" s="69"/>
    </row>
    <row r="14">
      <c r="B14" s="67"/>
      <c r="C14" s="73" t="s">
        <v>137</v>
      </c>
      <c r="L14" s="68"/>
      <c r="M14" s="69"/>
    </row>
    <row r="15" ht="63.0" customHeight="1">
      <c r="B15" s="67"/>
      <c r="L15" s="68"/>
      <c r="M15" s="69"/>
      <c r="Q15" s="41"/>
      <c r="R15" s="41"/>
    </row>
    <row r="16" ht="45.0" customHeight="1">
      <c r="A16" s="4" t="s">
        <v>2</v>
      </c>
      <c r="B16" s="6" t="s">
        <v>6</v>
      </c>
      <c r="C16" s="8" t="s">
        <v>10</v>
      </c>
      <c r="D16" s="9" t="s">
        <v>14</v>
      </c>
      <c r="E16" s="8" t="s">
        <v>17</v>
      </c>
      <c r="F16" s="9" t="s">
        <v>20</v>
      </c>
      <c r="G16" s="9" t="s">
        <v>23</v>
      </c>
      <c r="H16" s="8" t="s">
        <v>26</v>
      </c>
      <c r="I16" s="8" t="s">
        <v>27</v>
      </c>
      <c r="J16" s="8" t="s">
        <v>28</v>
      </c>
      <c r="K16" s="8" t="s">
        <v>30</v>
      </c>
      <c r="L16" s="74" t="s">
        <v>145</v>
      </c>
      <c r="M16" s="14" t="s">
        <v>33</v>
      </c>
      <c r="N16" s="8" t="s">
        <v>34</v>
      </c>
      <c r="O16" s="8" t="s">
        <v>38</v>
      </c>
      <c r="P16" s="16" t="s">
        <v>41</v>
      </c>
      <c r="Q16" s="41"/>
      <c r="R16" s="41"/>
    </row>
    <row r="17" ht="75.0" customHeight="1">
      <c r="A17" s="19" t="s">
        <v>149</v>
      </c>
      <c r="B17" s="76" t="s">
        <v>150</v>
      </c>
      <c r="C17" s="25" t="s">
        <v>153</v>
      </c>
      <c r="D17" s="25" t="s">
        <v>155</v>
      </c>
      <c r="E17" s="25" t="s">
        <v>158</v>
      </c>
      <c r="F17" s="29">
        <v>157978.16</v>
      </c>
      <c r="G17" s="29" t="s">
        <v>68</v>
      </c>
      <c r="H17" s="29" t="s">
        <v>160</v>
      </c>
      <c r="I17" s="29" t="s">
        <v>161</v>
      </c>
      <c r="J17" s="46" t="s">
        <v>162</v>
      </c>
      <c r="K17" s="82" t="s">
        <v>163</v>
      </c>
      <c r="L17" s="83" t="s">
        <v>68</v>
      </c>
      <c r="M17" s="85" t="s">
        <v>166</v>
      </c>
      <c r="N17" s="86" t="s">
        <v>167</v>
      </c>
      <c r="O17" s="39"/>
      <c r="P17" s="40" t="s">
        <v>69</v>
      </c>
    </row>
    <row r="18" ht="75.0" customHeight="1">
      <c r="A18" s="19" t="s">
        <v>170</v>
      </c>
      <c r="B18" s="76" t="s">
        <v>150</v>
      </c>
      <c r="C18" s="25" t="s">
        <v>171</v>
      </c>
      <c r="D18" s="25" t="s">
        <v>155</v>
      </c>
      <c r="E18" s="25" t="s">
        <v>76</v>
      </c>
      <c r="F18" s="29">
        <v>475000.0</v>
      </c>
      <c r="G18" s="29" t="s">
        <v>68</v>
      </c>
      <c r="H18" s="29" t="s">
        <v>173</v>
      </c>
      <c r="I18" s="29" t="s">
        <v>174</v>
      </c>
      <c r="J18" s="46" t="s">
        <v>175</v>
      </c>
      <c r="K18" s="82" t="s">
        <v>163</v>
      </c>
      <c r="L18" s="83" t="s">
        <v>68</v>
      </c>
      <c r="M18" s="87" t="s">
        <v>176</v>
      </c>
      <c r="N18" s="86" t="s">
        <v>167</v>
      </c>
      <c r="O18" s="39"/>
      <c r="P18" s="40" t="s">
        <v>69</v>
      </c>
    </row>
    <row r="19" ht="75.0" customHeight="1">
      <c r="A19" s="19" t="s">
        <v>180</v>
      </c>
      <c r="B19" s="76" t="s">
        <v>150</v>
      </c>
      <c r="C19" s="25" t="s">
        <v>181</v>
      </c>
      <c r="D19" s="25" t="s">
        <v>155</v>
      </c>
      <c r="E19" s="25" t="s">
        <v>182</v>
      </c>
      <c r="F19" s="29">
        <v>45440.0</v>
      </c>
      <c r="G19" s="29" t="s">
        <v>68</v>
      </c>
      <c r="H19" s="29" t="s">
        <v>183</v>
      </c>
      <c r="I19" s="29" t="s">
        <v>184</v>
      </c>
      <c r="J19" s="44" t="s">
        <v>185</v>
      </c>
      <c r="K19" s="82" t="s">
        <v>163</v>
      </c>
      <c r="L19" s="83" t="s">
        <v>68</v>
      </c>
      <c r="M19" s="88" t="s">
        <v>189</v>
      </c>
      <c r="N19" s="86" t="s">
        <v>167</v>
      </c>
      <c r="O19" s="39"/>
      <c r="P19" s="40" t="s">
        <v>69</v>
      </c>
      <c r="Q19" s="41"/>
      <c r="R19" s="41"/>
    </row>
    <row r="20" ht="75.0" customHeight="1">
      <c r="A20" s="19" t="s">
        <v>194</v>
      </c>
      <c r="B20" s="76" t="s">
        <v>150</v>
      </c>
      <c r="C20" s="25" t="s">
        <v>196</v>
      </c>
      <c r="D20" s="25" t="s">
        <v>155</v>
      </c>
      <c r="E20" s="25" t="s">
        <v>182</v>
      </c>
      <c r="F20" s="29">
        <v>38200.0</v>
      </c>
      <c r="G20" s="29" t="s">
        <v>68</v>
      </c>
      <c r="H20" s="29" t="s">
        <v>198</v>
      </c>
      <c r="I20" s="29" t="s">
        <v>184</v>
      </c>
      <c r="J20" s="46" t="s">
        <v>200</v>
      </c>
      <c r="K20" s="82" t="s">
        <v>163</v>
      </c>
      <c r="L20" s="83" t="s">
        <v>68</v>
      </c>
      <c r="M20" s="88" t="s">
        <v>203</v>
      </c>
      <c r="N20" s="86" t="s">
        <v>167</v>
      </c>
      <c r="O20" s="39"/>
      <c r="P20" s="40" t="s">
        <v>69</v>
      </c>
      <c r="Q20" s="1"/>
      <c r="R20" s="1"/>
    </row>
    <row r="21" ht="75.0" customHeight="1">
      <c r="A21" s="95" t="s">
        <v>204</v>
      </c>
      <c r="B21" s="76" t="s">
        <v>150</v>
      </c>
      <c r="C21" s="25" t="s">
        <v>207</v>
      </c>
      <c r="D21" s="25" t="s">
        <v>155</v>
      </c>
      <c r="E21" s="25" t="s">
        <v>53</v>
      </c>
      <c r="F21" s="29">
        <v>29768.0</v>
      </c>
      <c r="G21" s="29" t="s">
        <v>68</v>
      </c>
      <c r="H21" s="26" t="s">
        <v>210</v>
      </c>
      <c r="I21" s="26" t="s">
        <v>212</v>
      </c>
      <c r="J21" s="44" t="s">
        <v>213</v>
      </c>
      <c r="K21" s="82" t="s">
        <v>163</v>
      </c>
      <c r="L21" s="83" t="s">
        <v>68</v>
      </c>
      <c r="M21" s="85" t="s">
        <v>166</v>
      </c>
      <c r="N21" s="86" t="s">
        <v>167</v>
      </c>
      <c r="O21" s="39"/>
      <c r="P21" s="40" t="s">
        <v>69</v>
      </c>
      <c r="Q21" s="41"/>
      <c r="R21" s="41"/>
    </row>
    <row r="22" ht="75.0" customHeight="1">
      <c r="A22" s="19" t="s">
        <v>219</v>
      </c>
      <c r="B22" s="76" t="s">
        <v>150</v>
      </c>
      <c r="C22" s="25" t="s">
        <v>221</v>
      </c>
      <c r="D22" s="25" t="s">
        <v>155</v>
      </c>
      <c r="E22" s="25" t="s">
        <v>223</v>
      </c>
      <c r="F22" s="29">
        <v>3905.0</v>
      </c>
      <c r="G22" s="29" t="s">
        <v>68</v>
      </c>
      <c r="H22" s="26" t="s">
        <v>225</v>
      </c>
      <c r="I22" s="26" t="s">
        <v>227</v>
      </c>
      <c r="J22" s="44" t="s">
        <v>228</v>
      </c>
      <c r="K22" s="82" t="s">
        <v>163</v>
      </c>
      <c r="L22" s="83" t="s">
        <v>68</v>
      </c>
      <c r="M22" s="87" t="s">
        <v>229</v>
      </c>
      <c r="N22" s="86" t="s">
        <v>167</v>
      </c>
      <c r="O22" s="39"/>
      <c r="P22" s="40" t="s">
        <v>69</v>
      </c>
      <c r="Q22" s="41"/>
      <c r="R22" s="41"/>
    </row>
    <row r="23" ht="75.0" customHeight="1">
      <c r="A23" s="96" t="s">
        <v>231</v>
      </c>
      <c r="B23" s="76" t="s">
        <v>233</v>
      </c>
      <c r="C23" s="97" t="s">
        <v>236</v>
      </c>
      <c r="D23" s="86" t="s">
        <v>155</v>
      </c>
      <c r="E23" s="98" t="s">
        <v>223</v>
      </c>
      <c r="F23" s="99">
        <v>36801.89</v>
      </c>
      <c r="G23" s="100" t="s">
        <v>68</v>
      </c>
      <c r="H23" s="98" t="s">
        <v>238</v>
      </c>
      <c r="I23" s="98" t="s">
        <v>239</v>
      </c>
      <c r="J23" s="86" t="s">
        <v>240</v>
      </c>
      <c r="K23" s="82" t="s">
        <v>163</v>
      </c>
      <c r="L23" s="83" t="s">
        <v>68</v>
      </c>
      <c r="M23" s="101" t="s">
        <v>241</v>
      </c>
      <c r="N23" s="86" t="s">
        <v>167</v>
      </c>
      <c r="O23" s="102"/>
      <c r="P23" s="40" t="s">
        <v>69</v>
      </c>
      <c r="Q23" s="103"/>
      <c r="R23" s="103"/>
    </row>
    <row r="24" ht="90.0" customHeight="1">
      <c r="A24" s="52" t="s">
        <v>242</v>
      </c>
      <c r="B24" s="76" t="s">
        <v>150</v>
      </c>
      <c r="C24" s="56" t="s">
        <v>243</v>
      </c>
      <c r="D24" s="25" t="s">
        <v>155</v>
      </c>
      <c r="E24" s="57" t="s">
        <v>245</v>
      </c>
      <c r="F24" s="58">
        <v>25590.0</v>
      </c>
      <c r="G24" s="58" t="s">
        <v>68</v>
      </c>
      <c r="H24" s="59" t="s">
        <v>246</v>
      </c>
      <c r="I24" s="59" t="s">
        <v>247</v>
      </c>
      <c r="J24" s="34" t="s">
        <v>248</v>
      </c>
      <c r="K24" s="82" t="s">
        <v>163</v>
      </c>
      <c r="L24" s="83" t="s">
        <v>68</v>
      </c>
      <c r="M24" s="85" t="s">
        <v>166</v>
      </c>
      <c r="N24" s="86" t="s">
        <v>167</v>
      </c>
      <c r="O24" s="39"/>
      <c r="P24" s="40" t="s">
        <v>69</v>
      </c>
      <c r="Q24" s="41"/>
      <c r="R24" s="41"/>
    </row>
    <row r="25" ht="90.0" customHeight="1">
      <c r="A25" s="52" t="s">
        <v>250</v>
      </c>
      <c r="B25" s="76" t="s">
        <v>150</v>
      </c>
      <c r="C25" s="56" t="s">
        <v>253</v>
      </c>
      <c r="D25" s="25" t="s">
        <v>155</v>
      </c>
      <c r="E25" s="57" t="s">
        <v>76</v>
      </c>
      <c r="F25" s="104">
        <v>2212635.14</v>
      </c>
      <c r="G25" s="104" t="s">
        <v>68</v>
      </c>
      <c r="H25" s="57" t="s">
        <v>256</v>
      </c>
      <c r="I25" s="57" t="s">
        <v>257</v>
      </c>
      <c r="J25" s="34" t="s">
        <v>260</v>
      </c>
      <c r="K25" s="82" t="s">
        <v>163</v>
      </c>
      <c r="L25" s="83" t="s">
        <v>68</v>
      </c>
      <c r="M25" s="88" t="s">
        <v>264</v>
      </c>
      <c r="N25" s="86" t="s">
        <v>167</v>
      </c>
      <c r="O25" s="39"/>
      <c r="P25" s="40" t="s">
        <v>69</v>
      </c>
    </row>
    <row r="26" ht="75.0" customHeight="1">
      <c r="A26" s="105" t="s">
        <v>270</v>
      </c>
      <c r="B26" s="76" t="s">
        <v>150</v>
      </c>
      <c r="C26" s="107" t="s">
        <v>275</v>
      </c>
      <c r="D26" s="108" t="s">
        <v>155</v>
      </c>
      <c r="E26" s="110" t="s">
        <v>245</v>
      </c>
      <c r="F26" s="111">
        <v>71375.0</v>
      </c>
      <c r="G26" s="113" t="s">
        <v>68</v>
      </c>
      <c r="H26" s="110" t="s">
        <v>279</v>
      </c>
      <c r="I26" s="110" t="s">
        <v>281</v>
      </c>
      <c r="J26" s="108" t="s">
        <v>281</v>
      </c>
      <c r="K26" s="82" t="s">
        <v>163</v>
      </c>
      <c r="L26" s="83" t="s">
        <v>68</v>
      </c>
      <c r="M26" s="83" t="s">
        <v>166</v>
      </c>
      <c r="N26" s="117" t="s">
        <v>167</v>
      </c>
      <c r="O26" s="102"/>
      <c r="P26" s="40" t="s">
        <v>69</v>
      </c>
      <c r="Q26" s="2"/>
      <c r="R26" s="2"/>
    </row>
    <row r="27" ht="75.0" customHeight="1">
      <c r="A27" s="19" t="s">
        <v>288</v>
      </c>
      <c r="B27" s="76" t="s">
        <v>150</v>
      </c>
      <c r="C27" s="25" t="s">
        <v>290</v>
      </c>
      <c r="D27" s="26" t="s">
        <v>155</v>
      </c>
      <c r="E27" s="26" t="s">
        <v>53</v>
      </c>
      <c r="F27" s="29">
        <v>49176.0</v>
      </c>
      <c r="G27" s="29" t="s">
        <v>68</v>
      </c>
      <c r="H27" s="61" t="s">
        <v>210</v>
      </c>
      <c r="I27" s="61" t="s">
        <v>293</v>
      </c>
      <c r="J27" s="26" t="s">
        <v>295</v>
      </c>
      <c r="K27" s="82" t="s">
        <v>163</v>
      </c>
      <c r="L27" s="83" t="s">
        <v>68</v>
      </c>
      <c r="M27" s="83" t="s">
        <v>166</v>
      </c>
      <c r="N27" s="117" t="s">
        <v>167</v>
      </c>
      <c r="O27" s="102"/>
      <c r="P27" s="40" t="s">
        <v>69</v>
      </c>
      <c r="Q27" s="2"/>
      <c r="R27" s="2"/>
    </row>
    <row r="28" ht="75.0" customHeight="1">
      <c r="A28" s="19" t="s">
        <v>299</v>
      </c>
      <c r="B28" s="123" t="s">
        <v>233</v>
      </c>
      <c r="C28" s="25" t="s">
        <v>302</v>
      </c>
      <c r="D28" s="26" t="s">
        <v>54</v>
      </c>
      <c r="E28" s="26" t="s">
        <v>76</v>
      </c>
      <c r="F28" s="29">
        <v>488000.0</v>
      </c>
      <c r="G28" s="29" t="s">
        <v>68</v>
      </c>
      <c r="H28" s="61" t="s">
        <v>305</v>
      </c>
      <c r="I28" s="26" t="s">
        <v>306</v>
      </c>
      <c r="J28" s="26" t="s">
        <v>306</v>
      </c>
      <c r="K28" s="82" t="s">
        <v>163</v>
      </c>
      <c r="L28" s="83" t="s">
        <v>68</v>
      </c>
      <c r="M28" s="101" t="s">
        <v>307</v>
      </c>
      <c r="N28" s="117" t="s">
        <v>167</v>
      </c>
      <c r="O28" s="102"/>
      <c r="P28" s="40" t="s">
        <v>69</v>
      </c>
      <c r="Q28" s="2"/>
      <c r="R28" s="2"/>
    </row>
    <row r="29" ht="75.0" customHeight="1">
      <c r="A29" s="19" t="s">
        <v>310</v>
      </c>
      <c r="B29" s="123" t="s">
        <v>233</v>
      </c>
      <c r="C29" s="25" t="s">
        <v>311</v>
      </c>
      <c r="D29" s="26" t="s">
        <v>155</v>
      </c>
      <c r="E29" s="26" t="s">
        <v>312</v>
      </c>
      <c r="F29" s="29">
        <v>596076.75</v>
      </c>
      <c r="G29" s="29" t="s">
        <v>68</v>
      </c>
      <c r="H29" s="61" t="s">
        <v>315</v>
      </c>
      <c r="I29" s="61" t="s">
        <v>317</v>
      </c>
      <c r="J29" s="26" t="s">
        <v>317</v>
      </c>
      <c r="K29" s="82" t="s">
        <v>163</v>
      </c>
      <c r="L29" s="83" t="s">
        <v>68</v>
      </c>
      <c r="M29" s="83" t="s">
        <v>166</v>
      </c>
      <c r="N29" s="117" t="s">
        <v>167</v>
      </c>
      <c r="O29" s="102"/>
      <c r="P29" s="40" t="s">
        <v>69</v>
      </c>
      <c r="Q29" s="2"/>
      <c r="R29" s="2"/>
    </row>
    <row r="30" ht="75.0" customHeight="1">
      <c r="A30" s="95" t="s">
        <v>322</v>
      </c>
      <c r="B30" s="123" t="s">
        <v>150</v>
      </c>
      <c r="C30" s="124" t="s">
        <v>324</v>
      </c>
      <c r="D30" s="26" t="s">
        <v>155</v>
      </c>
      <c r="E30" s="26" t="s">
        <v>325</v>
      </c>
      <c r="F30" s="29">
        <v>290169.81</v>
      </c>
      <c r="G30" s="29" t="s">
        <v>68</v>
      </c>
      <c r="H30" s="124" t="s">
        <v>329</v>
      </c>
      <c r="I30" s="124" t="s">
        <v>330</v>
      </c>
      <c r="J30" s="124" t="s">
        <v>330</v>
      </c>
      <c r="K30" s="82" t="s">
        <v>163</v>
      </c>
      <c r="L30" s="83" t="s">
        <v>68</v>
      </c>
      <c r="M30" s="83" t="s">
        <v>166</v>
      </c>
      <c r="N30" s="117" t="s">
        <v>167</v>
      </c>
      <c r="O30" s="102"/>
      <c r="P30" s="40" t="s">
        <v>69</v>
      </c>
      <c r="Q30" s="103"/>
      <c r="R30" s="103"/>
    </row>
    <row r="31" ht="75.0" customHeight="1">
      <c r="A31" s="19" t="s">
        <v>335</v>
      </c>
      <c r="B31" s="123" t="s">
        <v>150</v>
      </c>
      <c r="C31" s="124" t="s">
        <v>337</v>
      </c>
      <c r="D31" s="26" t="s">
        <v>54</v>
      </c>
      <c r="E31" s="26" t="s">
        <v>76</v>
      </c>
      <c r="F31" s="29">
        <v>1029885.8</v>
      </c>
      <c r="G31" s="29">
        <v>0.0</v>
      </c>
      <c r="H31" s="26" t="s">
        <v>340</v>
      </c>
      <c r="I31" s="26" t="s">
        <v>341</v>
      </c>
      <c r="J31" s="32" t="s">
        <v>61</v>
      </c>
      <c r="K31" s="82" t="s">
        <v>163</v>
      </c>
      <c r="L31" s="83" t="s">
        <v>68</v>
      </c>
      <c r="M31" s="83" t="s">
        <v>166</v>
      </c>
      <c r="N31" s="26" t="s">
        <v>68</v>
      </c>
      <c r="O31" s="65"/>
      <c r="P31" s="66" t="s">
        <v>69</v>
      </c>
      <c r="Q31" s="1"/>
      <c r="R31" s="1"/>
    </row>
    <row r="32">
      <c r="B32" s="67"/>
      <c r="M32" s="69"/>
    </row>
    <row r="33">
      <c r="B33" s="67"/>
      <c r="M33" s="69"/>
    </row>
    <row r="34">
      <c r="B34" s="67"/>
      <c r="M34" s="69"/>
    </row>
    <row r="35">
      <c r="B35" s="67"/>
      <c r="M35" s="69"/>
    </row>
  </sheetData>
  <mergeCells count="1">
    <mergeCell ref="A1:P4"/>
  </mergeCells>
  <dataValidations>
    <dataValidation type="custom" allowBlank="1" showDropDown="1" sqref="B6:B9 O6:O9 O17:O31">
      <formula1>OR(NOT(ISERROR(DATEVALUE(B6))), AND(ISNUMBER(B6), LEFT(CELL("format", B6))="D"))</formula1>
    </dataValidation>
    <dataValidation type="custom" allowBlank="1" showDropDown="1" sqref="F6:F9 F17:F31">
      <formula1>AND(ISNUMBER(F6),(NOT(OR(NOT(ISERROR(DATEVALUE(F6))), AND(ISNUMBER(F6), LEFT(CELL("format", F6))="D")))))</formula1>
    </dataValidation>
    <dataValidation allowBlank="1" showDropDown="1" sqref="C6:C9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2.38"/>
    <col customWidth="1" min="2" max="2" width="37.63"/>
    <col customWidth="1" min="3" max="3" width="20.13"/>
    <col customWidth="1" min="4" max="4" width="47.25"/>
    <col customWidth="1" min="5" max="5" width="28.63"/>
    <col customWidth="1" min="6" max="6" width="30.13"/>
    <col customWidth="1" min="7" max="7" width="37.63"/>
    <col customWidth="1" min="8" max="8" width="77.63"/>
    <col customWidth="1" min="9" max="9" width="30.5"/>
    <col customWidth="1" min="10" max="10" width="66.38"/>
    <col customWidth="1" min="11" max="11" width="28.38"/>
    <col customWidth="1" min="13" max="13" width="14.75"/>
  </cols>
  <sheetData>
    <row r="1">
      <c r="A1" s="1" t="s">
        <v>0</v>
      </c>
    </row>
    <row r="3" ht="33.0" customHeight="1"/>
    <row r="5" ht="45.0" customHeight="1">
      <c r="A5" s="5" t="s">
        <v>3</v>
      </c>
      <c r="B5" s="7" t="s">
        <v>7</v>
      </c>
      <c r="C5" s="7" t="s">
        <v>11</v>
      </c>
      <c r="D5" s="7" t="s">
        <v>15</v>
      </c>
      <c r="E5" s="7" t="s">
        <v>18</v>
      </c>
      <c r="F5" s="7" t="s">
        <v>21</v>
      </c>
      <c r="G5" s="7" t="s">
        <v>24</v>
      </c>
      <c r="H5" s="7" t="s">
        <v>26</v>
      </c>
      <c r="I5" s="7" t="s">
        <v>27</v>
      </c>
      <c r="J5" s="7" t="s">
        <v>22</v>
      </c>
      <c r="K5" s="7" t="s">
        <v>34</v>
      </c>
      <c r="L5" s="7" t="s">
        <v>36</v>
      </c>
      <c r="M5" s="15" t="s">
        <v>39</v>
      </c>
    </row>
    <row r="6" ht="37.5" customHeight="1">
      <c r="A6" s="18" t="s">
        <v>43</v>
      </c>
      <c r="B6" s="18" t="s">
        <v>46</v>
      </c>
      <c r="C6" s="22" t="s">
        <v>48</v>
      </c>
      <c r="D6" s="18" t="s">
        <v>50</v>
      </c>
      <c r="E6" s="24" t="s">
        <v>52</v>
      </c>
      <c r="F6" s="24" t="s">
        <v>53</v>
      </c>
      <c r="G6" s="27">
        <v>769381.23</v>
      </c>
      <c r="H6" s="24" t="s">
        <v>56</v>
      </c>
      <c r="I6" s="24" t="s">
        <v>57</v>
      </c>
      <c r="J6" s="49" t="s">
        <v>63</v>
      </c>
      <c r="K6" s="24" t="s">
        <v>89</v>
      </c>
      <c r="L6" s="51">
        <v>46205.0</v>
      </c>
      <c r="M6" s="54" t="s">
        <v>93</v>
      </c>
      <c r="N6" s="2"/>
      <c r="O6" s="2"/>
    </row>
    <row r="7" ht="37.5" customHeight="1">
      <c r="A7" s="18" t="s">
        <v>97</v>
      </c>
      <c r="B7" s="18" t="s">
        <v>100</v>
      </c>
      <c r="C7" s="22" t="s">
        <v>48</v>
      </c>
      <c r="D7" s="18" t="s">
        <v>104</v>
      </c>
      <c r="E7" s="24" t="s">
        <v>105</v>
      </c>
      <c r="F7" s="24" t="s">
        <v>106</v>
      </c>
      <c r="G7" s="27">
        <v>277420.49</v>
      </c>
      <c r="H7" s="24" t="s">
        <v>109</v>
      </c>
      <c r="I7" s="60" t="s">
        <v>115</v>
      </c>
      <c r="J7" s="24" t="s">
        <v>118</v>
      </c>
      <c r="K7" s="24" t="s">
        <v>123</v>
      </c>
      <c r="L7" s="51">
        <v>46191.0</v>
      </c>
      <c r="M7" s="54" t="s">
        <v>69</v>
      </c>
      <c r="N7" s="2"/>
      <c r="O7" s="2"/>
    </row>
    <row r="8" ht="37.5" customHeight="1">
      <c r="A8" s="18" t="s">
        <v>127</v>
      </c>
      <c r="B8" s="18" t="s">
        <v>128</v>
      </c>
      <c r="C8" s="22" t="s">
        <v>48</v>
      </c>
      <c r="D8" s="18" t="s">
        <v>134</v>
      </c>
      <c r="E8" s="24" t="s">
        <v>105</v>
      </c>
      <c r="F8" s="24" t="s">
        <v>106</v>
      </c>
      <c r="G8" s="27">
        <v>174033.24</v>
      </c>
      <c r="H8" s="24" t="s">
        <v>139</v>
      </c>
      <c r="I8" s="60" t="s">
        <v>115</v>
      </c>
      <c r="J8" s="75" t="s">
        <v>144</v>
      </c>
      <c r="K8" s="24" t="s">
        <v>146</v>
      </c>
      <c r="L8" s="51">
        <v>46191.0</v>
      </c>
      <c r="M8" s="54" t="s">
        <v>69</v>
      </c>
      <c r="N8" s="2"/>
      <c r="O8" s="2"/>
    </row>
    <row r="9" ht="22.5" customHeight="1">
      <c r="A9" s="78" t="s">
        <v>157</v>
      </c>
      <c r="B9" s="79">
        <v>3.0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</row>
    <row r="10" ht="37.5" customHeight="1">
      <c r="D10" s="84" t="s">
        <v>165</v>
      </c>
    </row>
  </sheetData>
  <mergeCells count="1">
    <mergeCell ref="A1:M4"/>
  </mergeCells>
  <dataValidations>
    <dataValidation type="custom" allowBlank="1" showDropDown="1" sqref="G6:G8">
      <formula1>AND(ISNUMBER(G6),(NOT(OR(NOT(ISERROR(DATEVALUE(G6))), AND(ISNUMBER(G6), LEFT(CELL("format", G6))="D")))))</formula1>
    </dataValidation>
    <dataValidation allowBlank="1" showDropDown="1" sqref="A6:B8"/>
  </dataValidations>
  <hyperlinks>
    <hyperlink r:id="rId1" ref="J6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  <col customWidth="1" min="2" max="2" width="70.0"/>
    <col customWidth="1" min="3" max="3" width="16.88"/>
    <col customWidth="1" min="4" max="4" width="33.0"/>
    <col customWidth="1" min="5" max="5" width="17.75"/>
    <col customWidth="1" min="6" max="6" width="13.38"/>
    <col customWidth="1" min="7" max="7" width="29.5"/>
    <col customWidth="1" min="8" max="8" width="104.38"/>
    <col customWidth="1" min="9" max="9" width="39.25"/>
    <col customWidth="1" min="10" max="10" width="31.38"/>
    <col customWidth="1" min="11" max="11" width="21.75"/>
  </cols>
  <sheetData>
    <row r="1">
      <c r="A1" s="1" t="s">
        <v>1</v>
      </c>
      <c r="K1" s="2"/>
      <c r="L1" s="2"/>
      <c r="M1" s="2"/>
    </row>
    <row r="2">
      <c r="K2" s="2"/>
      <c r="L2" s="2"/>
      <c r="M2" s="2"/>
    </row>
    <row r="3">
      <c r="K3" s="2"/>
      <c r="L3" s="2"/>
      <c r="M3" s="2"/>
    </row>
    <row r="4" ht="44.25" customHeight="1">
      <c r="K4" s="2"/>
      <c r="L4" s="2"/>
      <c r="M4" s="2"/>
    </row>
    <row r="5" ht="22.5" customHeight="1">
      <c r="A5" s="3" t="s">
        <v>2</v>
      </c>
      <c r="B5" s="3" t="s">
        <v>4</v>
      </c>
      <c r="C5" s="3" t="s">
        <v>5</v>
      </c>
      <c r="D5" s="3" t="s">
        <v>8</v>
      </c>
      <c r="E5" s="3" t="s">
        <v>9</v>
      </c>
      <c r="F5" s="3" t="s">
        <v>12</v>
      </c>
      <c r="G5" s="3" t="s">
        <v>13</v>
      </c>
      <c r="H5" s="3" t="s">
        <v>16</v>
      </c>
      <c r="I5" s="10" t="s">
        <v>19</v>
      </c>
      <c r="J5" s="3" t="s">
        <v>22</v>
      </c>
      <c r="K5" s="3" t="s">
        <v>25</v>
      </c>
      <c r="L5" s="11"/>
      <c r="M5" s="11"/>
    </row>
    <row r="6" ht="30.0" customHeight="1">
      <c r="A6" s="12" t="s">
        <v>29</v>
      </c>
      <c r="B6" s="13" t="s">
        <v>32</v>
      </c>
      <c r="C6" s="13" t="s">
        <v>35</v>
      </c>
      <c r="D6" s="13" t="s">
        <v>37</v>
      </c>
      <c r="E6" s="12" t="s">
        <v>40</v>
      </c>
      <c r="F6" s="13" t="s">
        <v>42</v>
      </c>
      <c r="G6" s="17" t="s">
        <v>44</v>
      </c>
      <c r="H6" s="13"/>
      <c r="I6" s="20"/>
      <c r="J6" s="17" t="s">
        <v>47</v>
      </c>
      <c r="K6" s="13" t="s">
        <v>49</v>
      </c>
      <c r="L6" s="2"/>
      <c r="M6" s="2"/>
    </row>
    <row r="7" ht="30.0" customHeight="1">
      <c r="A7" s="28" t="s">
        <v>29</v>
      </c>
      <c r="B7" s="30" t="s">
        <v>32</v>
      </c>
      <c r="C7" s="30" t="s">
        <v>35</v>
      </c>
      <c r="D7" s="30" t="s">
        <v>37</v>
      </c>
      <c r="E7" s="28" t="s">
        <v>60</v>
      </c>
      <c r="F7" s="30" t="s">
        <v>42</v>
      </c>
      <c r="G7" s="33" t="s">
        <v>44</v>
      </c>
      <c r="H7" s="30"/>
      <c r="I7" s="36"/>
      <c r="J7" s="33" t="s">
        <v>47</v>
      </c>
      <c r="K7" s="30" t="s">
        <v>66</v>
      </c>
      <c r="L7" s="2"/>
      <c r="M7" s="2"/>
    </row>
    <row r="8" ht="30.0" customHeight="1">
      <c r="A8" s="30" t="s">
        <v>29</v>
      </c>
      <c r="B8" s="30" t="s">
        <v>32</v>
      </c>
      <c r="C8" s="30" t="s">
        <v>35</v>
      </c>
      <c r="D8" s="30" t="s">
        <v>70</v>
      </c>
      <c r="E8" s="28" t="s">
        <v>75</v>
      </c>
      <c r="F8" s="30" t="s">
        <v>78</v>
      </c>
      <c r="G8" s="33" t="s">
        <v>44</v>
      </c>
      <c r="H8" s="43"/>
      <c r="I8" s="30"/>
      <c r="J8" s="33" t="s">
        <v>47</v>
      </c>
      <c r="K8" s="30" t="s">
        <v>83</v>
      </c>
      <c r="L8" s="2"/>
      <c r="M8" s="2"/>
    </row>
    <row r="9" ht="30.0" customHeight="1">
      <c r="A9" s="30" t="s">
        <v>29</v>
      </c>
      <c r="B9" s="30" t="s">
        <v>32</v>
      </c>
      <c r="C9" s="30" t="s">
        <v>35</v>
      </c>
      <c r="D9" s="30" t="s">
        <v>90</v>
      </c>
      <c r="E9" s="28" t="s">
        <v>91</v>
      </c>
      <c r="F9" s="30" t="s">
        <v>42</v>
      </c>
      <c r="G9" s="33" t="s">
        <v>44</v>
      </c>
      <c r="H9" s="43"/>
      <c r="I9" s="30"/>
      <c r="J9" s="33" t="s">
        <v>47</v>
      </c>
      <c r="K9" s="30" t="s">
        <v>94</v>
      </c>
      <c r="L9" s="2"/>
      <c r="M9" s="2"/>
    </row>
    <row r="10" ht="30.0" customHeight="1">
      <c r="A10" s="30" t="s">
        <v>29</v>
      </c>
      <c r="B10" s="30" t="s">
        <v>96</v>
      </c>
      <c r="C10" s="30" t="s">
        <v>35</v>
      </c>
      <c r="D10" s="30" t="s">
        <v>98</v>
      </c>
      <c r="E10" s="28" t="s">
        <v>99</v>
      </c>
      <c r="F10" s="30" t="s">
        <v>42</v>
      </c>
      <c r="G10" s="33" t="s">
        <v>44</v>
      </c>
      <c r="H10" s="43"/>
      <c r="I10" s="30"/>
      <c r="J10" s="33" t="s">
        <v>47</v>
      </c>
      <c r="K10" s="30" t="s">
        <v>103</v>
      </c>
      <c r="L10" s="2"/>
      <c r="M10" s="2"/>
    </row>
    <row r="11" ht="30.0" customHeight="1">
      <c r="A11" s="30" t="s">
        <v>29</v>
      </c>
      <c r="B11" s="30" t="s">
        <v>96</v>
      </c>
      <c r="C11" s="30" t="s">
        <v>35</v>
      </c>
      <c r="D11" s="30" t="s">
        <v>107</v>
      </c>
      <c r="E11" s="28" t="s">
        <v>108</v>
      </c>
      <c r="F11" s="30" t="s">
        <v>78</v>
      </c>
      <c r="G11" s="33" t="s">
        <v>44</v>
      </c>
      <c r="H11" s="30" t="s">
        <v>111</v>
      </c>
      <c r="I11" s="30" t="s">
        <v>113</v>
      </c>
      <c r="J11" s="33" t="s">
        <v>114</v>
      </c>
      <c r="K11" s="30" t="s">
        <v>117</v>
      </c>
      <c r="L11" s="2"/>
      <c r="M11" s="2"/>
    </row>
    <row r="12" ht="30.0" customHeight="1">
      <c r="A12" s="30" t="s">
        <v>29</v>
      </c>
      <c r="B12" s="30" t="s">
        <v>120</v>
      </c>
      <c r="C12" s="30" t="s">
        <v>35</v>
      </c>
      <c r="D12" s="30" t="s">
        <v>124</v>
      </c>
      <c r="E12" s="28" t="s">
        <v>125</v>
      </c>
      <c r="F12" s="30" t="s">
        <v>42</v>
      </c>
      <c r="G12" s="33" t="s">
        <v>44</v>
      </c>
      <c r="H12" s="30"/>
      <c r="I12" s="30"/>
      <c r="J12" s="33" t="s">
        <v>47</v>
      </c>
      <c r="K12" s="30" t="s">
        <v>126</v>
      </c>
      <c r="L12" s="2"/>
      <c r="M12" s="2"/>
    </row>
    <row r="13" ht="30.0" customHeight="1">
      <c r="A13" s="30" t="s">
        <v>29</v>
      </c>
      <c r="B13" s="30" t="s">
        <v>129</v>
      </c>
      <c r="C13" s="30" t="s">
        <v>35</v>
      </c>
      <c r="D13" s="30" t="s">
        <v>131</v>
      </c>
      <c r="E13" s="28" t="s">
        <v>133</v>
      </c>
      <c r="F13" s="30" t="s">
        <v>42</v>
      </c>
      <c r="G13" s="33" t="s">
        <v>44</v>
      </c>
      <c r="H13" s="30" t="s">
        <v>136</v>
      </c>
      <c r="I13" s="30" t="s">
        <v>138</v>
      </c>
      <c r="J13" s="33" t="s">
        <v>114</v>
      </c>
      <c r="K13" s="30" t="s">
        <v>94</v>
      </c>
      <c r="L13" s="2"/>
      <c r="M13" s="2"/>
    </row>
    <row r="14" ht="30.0" customHeight="1">
      <c r="A14" s="30" t="s">
        <v>29</v>
      </c>
      <c r="B14" s="30" t="s">
        <v>120</v>
      </c>
      <c r="C14" s="30" t="s">
        <v>35</v>
      </c>
      <c r="D14" s="30" t="s">
        <v>140</v>
      </c>
      <c r="E14" s="28" t="s">
        <v>142</v>
      </c>
      <c r="F14" s="30" t="s">
        <v>42</v>
      </c>
      <c r="G14" s="33" t="s">
        <v>44</v>
      </c>
      <c r="H14" s="43"/>
      <c r="I14" s="30"/>
      <c r="J14" s="33" t="s">
        <v>47</v>
      </c>
      <c r="K14" s="30" t="s">
        <v>147</v>
      </c>
      <c r="L14" s="2"/>
      <c r="M14" s="2"/>
    </row>
    <row r="15" ht="30.0" customHeight="1">
      <c r="A15" s="30" t="s">
        <v>29</v>
      </c>
      <c r="B15" s="30" t="s">
        <v>152</v>
      </c>
      <c r="C15" s="30" t="s">
        <v>35</v>
      </c>
      <c r="D15" s="30" t="s">
        <v>154</v>
      </c>
      <c r="E15" s="28" t="s">
        <v>156</v>
      </c>
      <c r="F15" s="30" t="s">
        <v>42</v>
      </c>
      <c r="G15" s="33" t="s">
        <v>44</v>
      </c>
      <c r="H15" s="30"/>
      <c r="I15" s="81"/>
      <c r="J15" s="33" t="s">
        <v>47</v>
      </c>
      <c r="K15" s="30" t="s">
        <v>164</v>
      </c>
      <c r="L15" s="2"/>
      <c r="M15" s="2"/>
    </row>
    <row r="16" ht="30.0" customHeight="1">
      <c r="A16" s="30" t="s">
        <v>29</v>
      </c>
      <c r="B16" s="30" t="s">
        <v>32</v>
      </c>
      <c r="C16" s="30" t="s">
        <v>35</v>
      </c>
      <c r="D16" s="30" t="s">
        <v>168</v>
      </c>
      <c r="E16" s="28" t="s">
        <v>169</v>
      </c>
      <c r="F16" s="30" t="s">
        <v>42</v>
      </c>
      <c r="G16" s="33" t="s">
        <v>44</v>
      </c>
      <c r="H16" s="36"/>
      <c r="I16" s="30"/>
      <c r="J16" s="33" t="s">
        <v>47</v>
      </c>
      <c r="K16" s="30" t="s">
        <v>167</v>
      </c>
      <c r="L16" s="2"/>
      <c r="M16" s="2"/>
    </row>
    <row r="17" ht="30.0" customHeight="1">
      <c r="A17" s="30" t="s">
        <v>29</v>
      </c>
      <c r="B17" s="30" t="s">
        <v>32</v>
      </c>
      <c r="C17" s="30" t="s">
        <v>35</v>
      </c>
      <c r="D17" s="30" t="s">
        <v>177</v>
      </c>
      <c r="E17" s="28" t="s">
        <v>178</v>
      </c>
      <c r="F17" s="30" t="s">
        <v>42</v>
      </c>
      <c r="G17" s="33" t="s">
        <v>44</v>
      </c>
      <c r="H17" s="30"/>
      <c r="I17" s="30"/>
      <c r="J17" s="33" t="s">
        <v>47</v>
      </c>
      <c r="K17" s="30" t="s">
        <v>167</v>
      </c>
      <c r="L17" s="2"/>
      <c r="M17" s="2"/>
    </row>
    <row r="18" ht="30.0" customHeight="1">
      <c r="A18" s="30" t="s">
        <v>29</v>
      </c>
      <c r="B18" s="30" t="s">
        <v>186</v>
      </c>
      <c r="C18" s="30" t="s">
        <v>35</v>
      </c>
      <c r="D18" s="30" t="s">
        <v>187</v>
      </c>
      <c r="E18" s="28" t="s">
        <v>190</v>
      </c>
      <c r="F18" s="30" t="s">
        <v>78</v>
      </c>
      <c r="G18" s="33" t="s">
        <v>44</v>
      </c>
      <c r="H18" s="30" t="s">
        <v>192</v>
      </c>
      <c r="I18" s="30" t="s">
        <v>195</v>
      </c>
      <c r="J18" s="33" t="s">
        <v>114</v>
      </c>
      <c r="K18" s="30" t="s">
        <v>167</v>
      </c>
      <c r="L18" s="2"/>
      <c r="M18" s="2"/>
    </row>
    <row r="19" ht="30.0" customHeight="1">
      <c r="A19" s="90" t="s">
        <v>29</v>
      </c>
      <c r="B19" s="90" t="s">
        <v>199</v>
      </c>
      <c r="C19" s="90" t="s">
        <v>35</v>
      </c>
      <c r="D19" s="90" t="s">
        <v>201</v>
      </c>
      <c r="E19" s="91" t="s">
        <v>202</v>
      </c>
      <c r="F19" s="90" t="s">
        <v>42</v>
      </c>
      <c r="G19" s="92" t="s">
        <v>44</v>
      </c>
      <c r="H19" s="94"/>
      <c r="I19" s="90"/>
      <c r="J19" s="92" t="s">
        <v>47</v>
      </c>
      <c r="K19" s="90" t="s">
        <v>205</v>
      </c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mergeCells count="1">
    <mergeCell ref="A1:J4"/>
  </mergeCells>
  <dataValidations>
    <dataValidation type="list" allowBlank="1" sqref="G6:G19">
      <formula1>"COM CONTRATO"</formula1>
    </dataValidation>
    <dataValidation type="list" allowBlank="1" sqref="J6:J19">
      <formula1>"FUNCIONANDO,FUNCIONANDO COM PENDÊNCIA,INOPERANTE"</formula1>
    </dataValidation>
    <dataValidation allowBlank="1" showDropDown="1" sqref="A6:A19 E6:E19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3.88"/>
    <col customWidth="1" min="2" max="2" width="63.25"/>
    <col customWidth="1" min="3" max="3" width="26.38"/>
    <col customWidth="1" min="4" max="4" width="36.5"/>
    <col customWidth="1" min="5" max="5" width="27.88"/>
    <col customWidth="1" min="6" max="6" width="42.38"/>
    <col customWidth="1" min="7" max="7" width="30.0"/>
    <col customWidth="1" min="8" max="8" width="109.88"/>
    <col customWidth="1" min="9" max="9" width="34.13"/>
    <col customWidth="1" min="10" max="10" width="42.5"/>
    <col customWidth="1" min="11" max="11" width="34.13"/>
    <col customWidth="1" min="12" max="12" width="45.0"/>
    <col customWidth="1" min="13" max="13" width="21.38"/>
  </cols>
  <sheetData>
    <row r="1">
      <c r="A1" s="2"/>
      <c r="M1" s="2"/>
    </row>
    <row r="2">
      <c r="M2" s="2"/>
    </row>
    <row r="3">
      <c r="M3" s="2"/>
    </row>
    <row r="4" ht="53.25" customHeight="1">
      <c r="M4" s="2"/>
    </row>
    <row r="5" ht="22.5" customHeight="1">
      <c r="A5" s="21" t="s">
        <v>2</v>
      </c>
      <c r="B5" s="21" t="s">
        <v>4</v>
      </c>
      <c r="C5" s="21" t="s">
        <v>5</v>
      </c>
      <c r="D5" s="21" t="s">
        <v>8</v>
      </c>
      <c r="E5" s="21" t="s">
        <v>9</v>
      </c>
      <c r="F5" s="31" t="s">
        <v>12</v>
      </c>
      <c r="G5" s="21" t="s">
        <v>13</v>
      </c>
      <c r="H5" s="21" t="s">
        <v>62</v>
      </c>
      <c r="I5" s="37" t="s">
        <v>64</v>
      </c>
      <c r="J5" s="37" t="s">
        <v>67</v>
      </c>
      <c r="K5" s="21" t="s">
        <v>22</v>
      </c>
      <c r="L5" s="21" t="s">
        <v>25</v>
      </c>
      <c r="M5" s="2"/>
    </row>
    <row r="6" ht="22.5" customHeight="1">
      <c r="A6" s="42" t="s">
        <v>72</v>
      </c>
      <c r="B6" s="42" t="s">
        <v>74</v>
      </c>
      <c r="C6" s="42" t="s">
        <v>77</v>
      </c>
      <c r="D6" s="42" t="s">
        <v>37</v>
      </c>
      <c r="E6" s="45" t="s">
        <v>81</v>
      </c>
      <c r="F6" s="48" t="s">
        <v>85</v>
      </c>
      <c r="G6" s="50" t="s">
        <v>44</v>
      </c>
      <c r="H6" s="42"/>
      <c r="I6" s="53"/>
      <c r="J6" s="53"/>
      <c r="K6" s="50" t="s">
        <v>47</v>
      </c>
      <c r="L6" s="53"/>
      <c r="M6" s="2"/>
    </row>
    <row r="7" ht="22.5" customHeight="1">
      <c r="A7" s="42" t="s">
        <v>72</v>
      </c>
      <c r="B7" s="42" t="s">
        <v>74</v>
      </c>
      <c r="C7" s="42" t="s">
        <v>77</v>
      </c>
      <c r="D7" s="42" t="s">
        <v>37</v>
      </c>
      <c r="E7" s="45" t="s">
        <v>122</v>
      </c>
      <c r="F7" s="48" t="s">
        <v>85</v>
      </c>
      <c r="G7" s="50" t="s">
        <v>44</v>
      </c>
      <c r="H7" s="42"/>
      <c r="I7" s="53"/>
      <c r="J7" s="53"/>
      <c r="K7" s="50" t="s">
        <v>47</v>
      </c>
      <c r="L7" s="53"/>
      <c r="M7" s="2"/>
    </row>
    <row r="8" ht="22.5" customHeight="1">
      <c r="A8" s="42" t="s">
        <v>72</v>
      </c>
      <c r="B8" s="42" t="s">
        <v>74</v>
      </c>
      <c r="C8" s="42" t="s">
        <v>77</v>
      </c>
      <c r="D8" s="42" t="s">
        <v>141</v>
      </c>
      <c r="E8" s="45" t="s">
        <v>143</v>
      </c>
      <c r="F8" s="48" t="s">
        <v>85</v>
      </c>
      <c r="G8" s="50" t="s">
        <v>44</v>
      </c>
      <c r="H8" s="42" t="s">
        <v>148</v>
      </c>
      <c r="I8" s="42" t="s">
        <v>151</v>
      </c>
      <c r="J8" s="77"/>
      <c r="K8" s="50" t="s">
        <v>159</v>
      </c>
      <c r="L8" s="53"/>
      <c r="M8" s="2"/>
    </row>
    <row r="9" ht="22.5" customHeight="1">
      <c r="A9" s="42" t="s">
        <v>72</v>
      </c>
      <c r="B9" s="42" t="s">
        <v>74</v>
      </c>
      <c r="C9" s="42" t="s">
        <v>77</v>
      </c>
      <c r="D9" s="42" t="s">
        <v>168</v>
      </c>
      <c r="E9" s="45" t="s">
        <v>172</v>
      </c>
      <c r="F9" s="48" t="s">
        <v>85</v>
      </c>
      <c r="G9" s="50" t="s">
        <v>44</v>
      </c>
      <c r="H9" s="42"/>
      <c r="I9" s="77"/>
      <c r="J9" s="77"/>
      <c r="K9" s="50" t="s">
        <v>47</v>
      </c>
      <c r="L9" s="42" t="s">
        <v>179</v>
      </c>
      <c r="M9" s="2"/>
    </row>
    <row r="10" ht="22.5" customHeight="1">
      <c r="A10" s="42" t="s">
        <v>72</v>
      </c>
      <c r="B10" s="42" t="s">
        <v>74</v>
      </c>
      <c r="C10" s="42" t="s">
        <v>77</v>
      </c>
      <c r="D10" s="42" t="s">
        <v>188</v>
      </c>
      <c r="E10" s="45" t="s">
        <v>191</v>
      </c>
      <c r="F10" s="48" t="s">
        <v>85</v>
      </c>
      <c r="G10" s="50" t="s">
        <v>44</v>
      </c>
      <c r="H10" s="42" t="s">
        <v>197</v>
      </c>
      <c r="I10" s="53"/>
      <c r="J10" s="53"/>
      <c r="K10" s="50" t="s">
        <v>47</v>
      </c>
      <c r="L10" s="53"/>
      <c r="M10" s="2"/>
    </row>
    <row r="11" ht="22.5" customHeight="1">
      <c r="A11" s="42" t="s">
        <v>72</v>
      </c>
      <c r="B11" s="42" t="s">
        <v>206</v>
      </c>
      <c r="C11" s="42" t="s">
        <v>77</v>
      </c>
      <c r="D11" s="42" t="s">
        <v>209</v>
      </c>
      <c r="E11" s="45" t="s">
        <v>211</v>
      </c>
      <c r="F11" s="48" t="s">
        <v>85</v>
      </c>
      <c r="G11" s="50" t="s">
        <v>44</v>
      </c>
      <c r="H11" s="42" t="s">
        <v>216</v>
      </c>
      <c r="I11" s="42" t="s">
        <v>218</v>
      </c>
      <c r="J11" s="42"/>
      <c r="K11" s="50" t="s">
        <v>159</v>
      </c>
      <c r="L11" s="53"/>
      <c r="M11" s="2"/>
    </row>
    <row r="12" ht="22.5" customHeight="1">
      <c r="A12" s="42" t="s">
        <v>72</v>
      </c>
      <c r="B12" s="42" t="s">
        <v>230</v>
      </c>
      <c r="C12" s="42" t="s">
        <v>77</v>
      </c>
      <c r="D12" s="42" t="s">
        <v>232</v>
      </c>
      <c r="E12" s="45" t="s">
        <v>234</v>
      </c>
      <c r="F12" s="48" t="s">
        <v>85</v>
      </c>
      <c r="G12" s="50" t="s">
        <v>44</v>
      </c>
      <c r="H12" s="42"/>
      <c r="I12" s="42"/>
      <c r="J12" s="42"/>
      <c r="K12" s="50" t="s">
        <v>47</v>
      </c>
      <c r="L12" s="53"/>
      <c r="M12" s="2"/>
    </row>
    <row r="13" ht="22.5" customHeight="1">
      <c r="A13" s="42" t="s">
        <v>72</v>
      </c>
      <c r="B13" s="42" t="s">
        <v>186</v>
      </c>
      <c r="C13" s="42" t="s">
        <v>77</v>
      </c>
      <c r="D13" s="42" t="s">
        <v>187</v>
      </c>
      <c r="E13" s="45" t="s">
        <v>249</v>
      </c>
      <c r="F13" s="48" t="s">
        <v>85</v>
      </c>
      <c r="G13" s="50" t="s">
        <v>44</v>
      </c>
      <c r="H13" s="42" t="s">
        <v>251</v>
      </c>
      <c r="I13" s="42" t="s">
        <v>254</v>
      </c>
      <c r="J13" s="53"/>
      <c r="K13" s="50" t="s">
        <v>159</v>
      </c>
      <c r="L13" s="42" t="s">
        <v>258</v>
      </c>
      <c r="M13" s="2"/>
    </row>
    <row r="14" ht="22.5" customHeight="1">
      <c r="A14" s="42" t="s">
        <v>72</v>
      </c>
      <c r="B14" s="42" t="s">
        <v>152</v>
      </c>
      <c r="C14" s="42" t="s">
        <v>77</v>
      </c>
      <c r="D14" s="42" t="s">
        <v>154</v>
      </c>
      <c r="E14" s="45" t="s">
        <v>273</v>
      </c>
      <c r="F14" s="48" t="s">
        <v>85</v>
      </c>
      <c r="G14" s="50" t="s">
        <v>44</v>
      </c>
      <c r="H14" s="42"/>
      <c r="I14" s="77"/>
      <c r="J14" s="77"/>
      <c r="K14" s="50" t="s">
        <v>47</v>
      </c>
      <c r="L14" s="42" t="s">
        <v>284</v>
      </c>
      <c r="M14" s="2"/>
    </row>
    <row r="15" ht="22.5" customHeight="1">
      <c r="A15" s="42" t="s">
        <v>72</v>
      </c>
      <c r="B15" s="42" t="s">
        <v>291</v>
      </c>
      <c r="C15" s="42" t="s">
        <v>77</v>
      </c>
      <c r="D15" s="42" t="s">
        <v>297</v>
      </c>
      <c r="E15" s="45" t="s">
        <v>298</v>
      </c>
      <c r="F15" s="48" t="s">
        <v>85</v>
      </c>
      <c r="G15" s="50" t="s">
        <v>44</v>
      </c>
      <c r="H15" s="42"/>
      <c r="I15" s="77"/>
      <c r="J15" s="77"/>
      <c r="K15" s="50" t="s">
        <v>47</v>
      </c>
      <c r="L15" s="42" t="s">
        <v>308</v>
      </c>
      <c r="M15" s="2"/>
    </row>
    <row r="16" ht="22.5" customHeight="1">
      <c r="A16" s="42" t="s">
        <v>72</v>
      </c>
      <c r="B16" s="42" t="s">
        <v>199</v>
      </c>
      <c r="C16" s="42" t="s">
        <v>77</v>
      </c>
      <c r="D16" s="42" t="s">
        <v>201</v>
      </c>
      <c r="E16" s="45" t="s">
        <v>321</v>
      </c>
      <c r="F16" s="48" t="s">
        <v>85</v>
      </c>
      <c r="G16" s="50" t="s">
        <v>44</v>
      </c>
      <c r="H16" s="42"/>
      <c r="I16" s="53"/>
      <c r="J16" s="53"/>
      <c r="K16" s="50" t="s">
        <v>47</v>
      </c>
      <c r="L16" s="53"/>
      <c r="M16" s="2"/>
    </row>
    <row r="17" ht="22.5" customHeight="1">
      <c r="A17" s="42" t="s">
        <v>72</v>
      </c>
      <c r="B17" s="42" t="s">
        <v>333</v>
      </c>
      <c r="C17" s="42" t="s">
        <v>77</v>
      </c>
      <c r="D17" s="42" t="s">
        <v>336</v>
      </c>
      <c r="E17" s="45" t="s">
        <v>338</v>
      </c>
      <c r="F17" s="48" t="s">
        <v>85</v>
      </c>
      <c r="G17" s="50" t="s">
        <v>44</v>
      </c>
      <c r="H17" s="42"/>
      <c r="I17" s="53"/>
      <c r="J17" s="53"/>
      <c r="K17" s="50" t="s">
        <v>47</v>
      </c>
      <c r="L17" s="42" t="s">
        <v>258</v>
      </c>
      <c r="M17" s="2"/>
    </row>
    <row r="18" ht="22.5" customHeight="1">
      <c r="A18" s="42" t="s">
        <v>72</v>
      </c>
      <c r="B18" s="42" t="s">
        <v>348</v>
      </c>
      <c r="C18" s="42" t="s">
        <v>77</v>
      </c>
      <c r="D18" s="42" t="s">
        <v>349</v>
      </c>
      <c r="E18" s="45" t="s">
        <v>350</v>
      </c>
      <c r="F18" s="48" t="s">
        <v>85</v>
      </c>
      <c r="G18" s="50" t="s">
        <v>44</v>
      </c>
      <c r="H18" s="42" t="s">
        <v>352</v>
      </c>
      <c r="I18" s="42" t="s">
        <v>354</v>
      </c>
      <c r="J18" s="42" t="s">
        <v>357</v>
      </c>
      <c r="K18" s="50" t="s">
        <v>159</v>
      </c>
      <c r="L18" s="42" t="s">
        <v>308</v>
      </c>
      <c r="M18" s="2"/>
    </row>
    <row r="19" ht="22.5" customHeight="1">
      <c r="A19" s="42" t="s">
        <v>72</v>
      </c>
      <c r="B19" s="42" t="s">
        <v>361</v>
      </c>
      <c r="C19" s="42" t="s">
        <v>77</v>
      </c>
      <c r="D19" s="42" t="s">
        <v>363</v>
      </c>
      <c r="E19" s="45" t="s">
        <v>364</v>
      </c>
      <c r="F19" s="48" t="s">
        <v>85</v>
      </c>
      <c r="G19" s="50" t="s">
        <v>44</v>
      </c>
      <c r="H19" s="42"/>
      <c r="I19" s="77"/>
      <c r="J19" s="42" t="s">
        <v>371</v>
      </c>
      <c r="K19" s="50" t="s">
        <v>159</v>
      </c>
      <c r="L19" s="42" t="s">
        <v>373</v>
      </c>
      <c r="M19" s="2"/>
    </row>
    <row r="20" ht="22.5" customHeight="1">
      <c r="A20" s="42" t="s">
        <v>72</v>
      </c>
      <c r="B20" s="42" t="s">
        <v>381</v>
      </c>
      <c r="C20" s="42" t="s">
        <v>77</v>
      </c>
      <c r="D20" s="42" t="s">
        <v>383</v>
      </c>
      <c r="E20" s="45" t="s">
        <v>387</v>
      </c>
      <c r="F20" s="48" t="s">
        <v>85</v>
      </c>
      <c r="G20" s="50" t="s">
        <v>44</v>
      </c>
      <c r="H20" s="42"/>
      <c r="I20" s="53"/>
      <c r="J20" s="53"/>
      <c r="K20" s="50" t="s">
        <v>47</v>
      </c>
      <c r="L20" s="53"/>
      <c r="M20" s="2"/>
    </row>
    <row r="21" ht="22.5" customHeight="1">
      <c r="A21" s="42" t="s">
        <v>72</v>
      </c>
      <c r="B21" s="42" t="s">
        <v>395</v>
      </c>
      <c r="C21" s="42" t="s">
        <v>77</v>
      </c>
      <c r="D21" s="42" t="s">
        <v>398</v>
      </c>
      <c r="E21" s="45" t="s">
        <v>400</v>
      </c>
      <c r="F21" s="48" t="s">
        <v>85</v>
      </c>
      <c r="G21" s="50" t="s">
        <v>44</v>
      </c>
      <c r="H21" s="42"/>
      <c r="I21" s="77"/>
      <c r="J21" s="77"/>
      <c r="K21" s="50" t="s">
        <v>47</v>
      </c>
      <c r="L21" s="42" t="s">
        <v>404</v>
      </c>
      <c r="M21" s="2"/>
    </row>
    <row r="22" ht="22.5" customHeight="1">
      <c r="A22" s="42" t="s">
        <v>72</v>
      </c>
      <c r="B22" s="42" t="s">
        <v>406</v>
      </c>
      <c r="C22" s="42" t="s">
        <v>77</v>
      </c>
      <c r="D22" s="42" t="s">
        <v>412</v>
      </c>
      <c r="E22" s="45" t="s">
        <v>414</v>
      </c>
      <c r="F22" s="48" t="s">
        <v>85</v>
      </c>
      <c r="G22" s="50" t="s">
        <v>44</v>
      </c>
      <c r="H22" s="42"/>
      <c r="I22" s="77"/>
      <c r="J22" s="77"/>
      <c r="K22" s="50" t="s">
        <v>47</v>
      </c>
      <c r="L22" s="42" t="s">
        <v>284</v>
      </c>
      <c r="M22" s="2"/>
    </row>
    <row r="23" ht="22.5" customHeight="1">
      <c r="A23" s="42" t="s">
        <v>72</v>
      </c>
      <c r="B23" s="42" t="s">
        <v>420</v>
      </c>
      <c r="C23" s="42" t="s">
        <v>77</v>
      </c>
      <c r="D23" s="42" t="s">
        <v>422</v>
      </c>
      <c r="E23" s="45" t="s">
        <v>423</v>
      </c>
      <c r="F23" s="48" t="s">
        <v>85</v>
      </c>
      <c r="G23" s="50" t="s">
        <v>44</v>
      </c>
      <c r="H23" s="42"/>
      <c r="I23" s="53"/>
      <c r="J23" s="53"/>
      <c r="K23" s="50" t="s">
        <v>47</v>
      </c>
      <c r="L23" s="53"/>
      <c r="M23" s="2"/>
    </row>
    <row r="24" ht="22.5" customHeight="1">
      <c r="A24" s="42" t="s">
        <v>72</v>
      </c>
      <c r="B24" s="42" t="s">
        <v>433</v>
      </c>
      <c r="C24" s="42" t="s">
        <v>77</v>
      </c>
      <c r="D24" s="42" t="s">
        <v>436</v>
      </c>
      <c r="E24" s="45" t="s">
        <v>438</v>
      </c>
      <c r="F24" s="48" t="s">
        <v>85</v>
      </c>
      <c r="G24" s="50" t="s">
        <v>44</v>
      </c>
      <c r="H24" s="42" t="s">
        <v>441</v>
      </c>
      <c r="I24" s="42" t="s">
        <v>442</v>
      </c>
      <c r="J24" s="42"/>
      <c r="K24" s="50" t="s">
        <v>159</v>
      </c>
      <c r="L24" s="53"/>
      <c r="M24" s="2"/>
    </row>
    <row r="25" ht="22.5" customHeight="1">
      <c r="A25" s="42" t="s">
        <v>72</v>
      </c>
      <c r="B25" s="42" t="s">
        <v>448</v>
      </c>
      <c r="C25" s="42" t="s">
        <v>77</v>
      </c>
      <c r="D25" s="42" t="s">
        <v>451</v>
      </c>
      <c r="E25" s="45" t="s">
        <v>454</v>
      </c>
      <c r="F25" s="48" t="s">
        <v>85</v>
      </c>
      <c r="G25" s="50" t="s">
        <v>44</v>
      </c>
      <c r="H25" s="42" t="s">
        <v>456</v>
      </c>
      <c r="I25" s="42" t="s">
        <v>457</v>
      </c>
      <c r="J25" s="42" t="s">
        <v>460</v>
      </c>
      <c r="K25" s="50" t="s">
        <v>159</v>
      </c>
      <c r="L25" s="130"/>
      <c r="M25" s="2"/>
    </row>
    <row r="26" ht="22.5" customHeight="1">
      <c r="A26" s="42" t="s">
        <v>72</v>
      </c>
      <c r="B26" s="42" t="s">
        <v>96</v>
      </c>
      <c r="C26" s="42" t="s">
        <v>77</v>
      </c>
      <c r="D26" s="42" t="s">
        <v>107</v>
      </c>
      <c r="E26" s="45" t="s">
        <v>470</v>
      </c>
      <c r="F26" s="48" t="s">
        <v>85</v>
      </c>
      <c r="G26" s="50" t="s">
        <v>44</v>
      </c>
      <c r="H26" s="42"/>
      <c r="I26" s="77"/>
      <c r="J26" s="77"/>
      <c r="K26" s="50" t="s">
        <v>47</v>
      </c>
      <c r="L26" s="42" t="s">
        <v>284</v>
      </c>
      <c r="M26" s="2"/>
    </row>
    <row r="27" ht="22.5" customHeight="1">
      <c r="A27" s="42" t="s">
        <v>72</v>
      </c>
      <c r="B27" s="42" t="s">
        <v>479</v>
      </c>
      <c r="C27" s="42" t="s">
        <v>77</v>
      </c>
      <c r="D27" s="42" t="s">
        <v>480</v>
      </c>
      <c r="E27" s="45" t="s">
        <v>482</v>
      </c>
      <c r="F27" s="48" t="s">
        <v>85</v>
      </c>
      <c r="G27" s="50" t="s">
        <v>44</v>
      </c>
      <c r="H27" s="42"/>
      <c r="I27" s="42"/>
      <c r="J27" s="42"/>
      <c r="K27" s="50" t="s">
        <v>47</v>
      </c>
      <c r="L27" s="53"/>
      <c r="M27" s="2"/>
    </row>
    <row r="28" ht="22.5" customHeight="1">
      <c r="A28" s="42" t="s">
        <v>72</v>
      </c>
      <c r="B28" s="42" t="s">
        <v>491</v>
      </c>
      <c r="C28" s="42" t="s">
        <v>77</v>
      </c>
      <c r="D28" s="42" t="s">
        <v>492</v>
      </c>
      <c r="E28" s="45" t="s">
        <v>494</v>
      </c>
      <c r="F28" s="48" t="s">
        <v>85</v>
      </c>
      <c r="G28" s="50" t="s">
        <v>44</v>
      </c>
      <c r="H28" s="42"/>
      <c r="I28" s="77"/>
      <c r="J28" s="77"/>
      <c r="K28" s="50" t="s">
        <v>47</v>
      </c>
      <c r="L28" s="42" t="s">
        <v>404</v>
      </c>
      <c r="M28" s="2"/>
    </row>
    <row r="29" ht="22.5" customHeight="1">
      <c r="A29" s="42" t="s">
        <v>72</v>
      </c>
      <c r="B29" s="42" t="s">
        <v>501</v>
      </c>
      <c r="C29" s="42" t="s">
        <v>77</v>
      </c>
      <c r="D29" s="42" t="s">
        <v>503</v>
      </c>
      <c r="E29" s="45" t="s">
        <v>504</v>
      </c>
      <c r="F29" s="48" t="s">
        <v>85</v>
      </c>
      <c r="G29" s="50" t="s">
        <v>44</v>
      </c>
      <c r="H29" s="42"/>
      <c r="I29" s="42"/>
      <c r="J29" s="42"/>
      <c r="K29" s="50" t="s">
        <v>47</v>
      </c>
      <c r="L29" s="53"/>
      <c r="M29" s="2"/>
    </row>
    <row r="30" ht="22.5" customHeight="1">
      <c r="A30" s="42" t="s">
        <v>72</v>
      </c>
      <c r="B30" s="42" t="s">
        <v>512</v>
      </c>
      <c r="C30" s="42" t="s">
        <v>77</v>
      </c>
      <c r="D30" s="42" t="s">
        <v>515</v>
      </c>
      <c r="E30" s="45" t="s">
        <v>516</v>
      </c>
      <c r="F30" s="48" t="s">
        <v>85</v>
      </c>
      <c r="G30" s="50" t="s">
        <v>44</v>
      </c>
      <c r="H30" s="42"/>
      <c r="I30" s="42"/>
      <c r="J30" s="42"/>
      <c r="K30" s="50" t="s">
        <v>47</v>
      </c>
      <c r="L30" s="53"/>
      <c r="M30" s="2"/>
    </row>
    <row r="31" ht="22.5" customHeight="1">
      <c r="A31" s="42" t="s">
        <v>72</v>
      </c>
      <c r="B31" s="42" t="s">
        <v>497</v>
      </c>
      <c r="C31" s="42" t="s">
        <v>77</v>
      </c>
      <c r="D31" s="42" t="s">
        <v>499</v>
      </c>
      <c r="E31" s="45" t="s">
        <v>525</v>
      </c>
      <c r="F31" s="48" t="s">
        <v>85</v>
      </c>
      <c r="G31" s="50" t="s">
        <v>44</v>
      </c>
      <c r="H31" s="42"/>
      <c r="I31" s="77"/>
      <c r="J31" s="77"/>
      <c r="K31" s="50" t="s">
        <v>47</v>
      </c>
      <c r="L31" s="42" t="s">
        <v>284</v>
      </c>
      <c r="M31" s="2"/>
    </row>
    <row r="32" ht="22.5" customHeight="1">
      <c r="A32" s="42" t="s">
        <v>72</v>
      </c>
      <c r="B32" s="42" t="s">
        <v>530</v>
      </c>
      <c r="C32" s="42" t="s">
        <v>77</v>
      </c>
      <c r="D32" s="42" t="s">
        <v>531</v>
      </c>
      <c r="E32" s="45" t="s">
        <v>532</v>
      </c>
      <c r="F32" s="48" t="s">
        <v>85</v>
      </c>
      <c r="G32" s="50" t="s">
        <v>44</v>
      </c>
      <c r="H32" s="42" t="s">
        <v>533</v>
      </c>
      <c r="I32" s="42" t="s">
        <v>535</v>
      </c>
      <c r="J32" s="42"/>
      <c r="K32" s="50" t="s">
        <v>159</v>
      </c>
      <c r="L32" s="42" t="s">
        <v>258</v>
      </c>
      <c r="M32" s="2"/>
    </row>
    <row r="33" ht="22.5" customHeight="1">
      <c r="A33" s="42" t="s">
        <v>72</v>
      </c>
      <c r="B33" s="42" t="s">
        <v>120</v>
      </c>
      <c r="C33" s="42" t="s">
        <v>77</v>
      </c>
      <c r="D33" s="42" t="s">
        <v>140</v>
      </c>
      <c r="E33" s="45" t="s">
        <v>538</v>
      </c>
      <c r="F33" s="48" t="s">
        <v>85</v>
      </c>
      <c r="G33" s="50" t="s">
        <v>44</v>
      </c>
      <c r="H33" s="42" t="s">
        <v>542</v>
      </c>
      <c r="I33" s="42" t="s">
        <v>543</v>
      </c>
      <c r="J33" s="77"/>
      <c r="K33" s="50" t="s">
        <v>159</v>
      </c>
      <c r="L33" s="53"/>
      <c r="M33" s="2"/>
    </row>
    <row r="34" ht="22.5" customHeight="1">
      <c r="A34" s="42" t="s">
        <v>72</v>
      </c>
      <c r="B34" s="42" t="s">
        <v>120</v>
      </c>
      <c r="C34" s="42" t="s">
        <v>77</v>
      </c>
      <c r="D34" s="42" t="s">
        <v>547</v>
      </c>
      <c r="E34" s="45" t="s">
        <v>548</v>
      </c>
      <c r="F34" s="48" t="s">
        <v>85</v>
      </c>
      <c r="G34" s="50" t="s">
        <v>44</v>
      </c>
      <c r="H34" s="42" t="s">
        <v>550</v>
      </c>
      <c r="I34" s="42"/>
      <c r="J34" s="42" t="s">
        <v>552</v>
      </c>
      <c r="K34" s="50" t="s">
        <v>159</v>
      </c>
      <c r="L34" s="42" t="s">
        <v>258</v>
      </c>
      <c r="M34" s="2"/>
    </row>
    <row r="35" ht="22.5" customHeight="1">
      <c r="A35" s="42" t="s">
        <v>72</v>
      </c>
      <c r="B35" s="42" t="s">
        <v>505</v>
      </c>
      <c r="C35" s="42" t="s">
        <v>77</v>
      </c>
      <c r="D35" s="42" t="s">
        <v>506</v>
      </c>
      <c r="E35" s="45" t="s">
        <v>556</v>
      </c>
      <c r="F35" s="48" t="s">
        <v>85</v>
      </c>
      <c r="G35" s="50" t="s">
        <v>44</v>
      </c>
      <c r="H35" s="42" t="s">
        <v>559</v>
      </c>
      <c r="I35" s="42" t="s">
        <v>561</v>
      </c>
      <c r="J35" s="42" t="s">
        <v>562</v>
      </c>
      <c r="K35" s="50" t="s">
        <v>159</v>
      </c>
      <c r="L35" s="130"/>
      <c r="M35" s="2"/>
    </row>
    <row r="36" ht="22.5" customHeight="1">
      <c r="A36" s="42" t="s">
        <v>72</v>
      </c>
      <c r="B36" s="42" t="s">
        <v>483</v>
      </c>
      <c r="C36" s="42" t="s">
        <v>77</v>
      </c>
      <c r="D36" s="42" t="s">
        <v>484</v>
      </c>
      <c r="E36" s="45" t="s">
        <v>566</v>
      </c>
      <c r="F36" s="48" t="s">
        <v>85</v>
      </c>
      <c r="G36" s="50" t="s">
        <v>44</v>
      </c>
      <c r="H36" s="42" t="s">
        <v>567</v>
      </c>
      <c r="I36" s="42" t="s">
        <v>568</v>
      </c>
      <c r="J36" s="42" t="s">
        <v>569</v>
      </c>
      <c r="K36" s="50" t="s">
        <v>114</v>
      </c>
      <c r="L36" s="53"/>
      <c r="M36" s="2"/>
    </row>
    <row r="37" ht="22.5" customHeight="1">
      <c r="A37" s="42" t="s">
        <v>72</v>
      </c>
      <c r="B37" s="42" t="s">
        <v>74</v>
      </c>
      <c r="C37" s="42" t="s">
        <v>77</v>
      </c>
      <c r="D37" s="42" t="s">
        <v>37</v>
      </c>
      <c r="E37" s="45" t="s">
        <v>573</v>
      </c>
      <c r="F37" s="48" t="s">
        <v>575</v>
      </c>
      <c r="G37" s="50" t="s">
        <v>44</v>
      </c>
      <c r="H37" s="42"/>
      <c r="I37" s="42"/>
      <c r="J37" s="42"/>
      <c r="K37" s="50" t="s">
        <v>47</v>
      </c>
      <c r="L37" s="53"/>
      <c r="M37" s="2"/>
    </row>
    <row r="38" ht="22.5" customHeight="1">
      <c r="A38" s="42" t="s">
        <v>72</v>
      </c>
      <c r="B38" s="42" t="s">
        <v>74</v>
      </c>
      <c r="C38" s="42" t="s">
        <v>77</v>
      </c>
      <c r="D38" s="42" t="s">
        <v>70</v>
      </c>
      <c r="E38" s="45" t="s">
        <v>581</v>
      </c>
      <c r="F38" s="48" t="s">
        <v>575</v>
      </c>
      <c r="G38" s="50" t="s">
        <v>44</v>
      </c>
      <c r="H38" s="42"/>
      <c r="I38" s="42"/>
      <c r="J38" s="42"/>
      <c r="K38" s="50" t="s">
        <v>47</v>
      </c>
      <c r="L38" s="53"/>
      <c r="M38" s="2"/>
    </row>
    <row r="39" ht="22.5" customHeight="1">
      <c r="A39" s="42" t="s">
        <v>72</v>
      </c>
      <c r="B39" s="42" t="s">
        <v>74</v>
      </c>
      <c r="C39" s="42" t="s">
        <v>77</v>
      </c>
      <c r="D39" s="42" t="s">
        <v>168</v>
      </c>
      <c r="E39" s="45" t="s">
        <v>585</v>
      </c>
      <c r="F39" s="48" t="s">
        <v>575</v>
      </c>
      <c r="G39" s="50" t="s">
        <v>44</v>
      </c>
      <c r="H39" s="42" t="s">
        <v>587</v>
      </c>
      <c r="I39" s="42" t="s">
        <v>589</v>
      </c>
      <c r="J39" s="42"/>
      <c r="K39" s="50" t="s">
        <v>159</v>
      </c>
      <c r="L39" s="53"/>
      <c r="M39" s="2"/>
    </row>
    <row r="40" ht="22.5" customHeight="1">
      <c r="A40" s="42" t="s">
        <v>72</v>
      </c>
      <c r="B40" s="42" t="s">
        <v>96</v>
      </c>
      <c r="C40" s="42" t="s">
        <v>77</v>
      </c>
      <c r="D40" s="42" t="s">
        <v>98</v>
      </c>
      <c r="E40" s="45" t="s">
        <v>590</v>
      </c>
      <c r="F40" s="48" t="s">
        <v>575</v>
      </c>
      <c r="G40" s="50" t="s">
        <v>44</v>
      </c>
      <c r="H40" s="42"/>
      <c r="I40" s="53"/>
      <c r="J40" s="53"/>
      <c r="K40" s="50" t="s">
        <v>47</v>
      </c>
      <c r="L40" s="53"/>
      <c r="M40" s="2"/>
    </row>
    <row r="41" ht="22.5" customHeight="1">
      <c r="A41" s="42" t="s">
        <v>72</v>
      </c>
      <c r="B41" s="42" t="s">
        <v>129</v>
      </c>
      <c r="C41" s="42" t="s">
        <v>77</v>
      </c>
      <c r="D41" s="42" t="s">
        <v>131</v>
      </c>
      <c r="E41" s="45" t="s">
        <v>594</v>
      </c>
      <c r="F41" s="48" t="s">
        <v>575</v>
      </c>
      <c r="G41" s="50" t="s">
        <v>44</v>
      </c>
      <c r="H41" s="42"/>
      <c r="I41" s="42"/>
      <c r="J41" s="132">
        <v>2.02656010121553E14</v>
      </c>
      <c r="K41" s="50" t="s">
        <v>47</v>
      </c>
      <c r="L41" s="53"/>
      <c r="M41" s="2"/>
    </row>
    <row r="42" ht="22.5" customHeight="1">
      <c r="A42" s="42" t="s">
        <v>72</v>
      </c>
      <c r="B42" s="42" t="s">
        <v>74</v>
      </c>
      <c r="C42" s="42" t="s">
        <v>77</v>
      </c>
      <c r="D42" s="42" t="s">
        <v>70</v>
      </c>
      <c r="E42" s="45" t="s">
        <v>598</v>
      </c>
      <c r="F42" s="48" t="s">
        <v>599</v>
      </c>
      <c r="G42" s="50" t="s">
        <v>44</v>
      </c>
      <c r="H42" s="42" t="s">
        <v>600</v>
      </c>
      <c r="I42" s="77"/>
      <c r="J42" s="77"/>
      <c r="K42" s="50" t="s">
        <v>47</v>
      </c>
      <c r="L42" s="130">
        <v>46278.0</v>
      </c>
      <c r="M42" s="2"/>
    </row>
    <row r="43" ht="22.5" customHeight="1">
      <c r="A43" s="42" t="s">
        <v>72</v>
      </c>
      <c r="B43" s="42" t="s">
        <v>74</v>
      </c>
      <c r="C43" s="42" t="s">
        <v>77</v>
      </c>
      <c r="D43" s="42" t="s">
        <v>326</v>
      </c>
      <c r="E43" s="45" t="s">
        <v>602</v>
      </c>
      <c r="F43" s="48" t="s">
        <v>599</v>
      </c>
      <c r="G43" s="50" t="s">
        <v>44</v>
      </c>
      <c r="H43" s="42" t="s">
        <v>600</v>
      </c>
      <c r="I43" s="77"/>
      <c r="J43" s="77"/>
      <c r="K43" s="135"/>
      <c r="L43" s="130">
        <v>46278.0</v>
      </c>
      <c r="M43" s="2"/>
    </row>
    <row r="44" ht="22.5" customHeight="1">
      <c r="A44" s="42" t="s">
        <v>72</v>
      </c>
      <c r="B44" s="42" t="s">
        <v>487</v>
      </c>
      <c r="C44" s="42" t="s">
        <v>77</v>
      </c>
      <c r="D44" s="42" t="s">
        <v>488</v>
      </c>
      <c r="E44" s="45" t="s">
        <v>605</v>
      </c>
      <c r="F44" s="48" t="s">
        <v>599</v>
      </c>
      <c r="G44" s="50" t="s">
        <v>44</v>
      </c>
      <c r="H44" s="42" t="s">
        <v>600</v>
      </c>
      <c r="I44" s="53"/>
      <c r="J44" s="53"/>
      <c r="K44" s="135"/>
      <c r="L44" s="130">
        <v>46278.0</v>
      </c>
      <c r="M44" s="2"/>
    </row>
    <row r="45" ht="22.5" customHeight="1">
      <c r="A45" s="42" t="s">
        <v>72</v>
      </c>
      <c r="B45" s="42" t="s">
        <v>120</v>
      </c>
      <c r="C45" s="42" t="s">
        <v>77</v>
      </c>
      <c r="D45" s="42" t="s">
        <v>140</v>
      </c>
      <c r="E45" s="45" t="s">
        <v>609</v>
      </c>
      <c r="F45" s="48" t="s">
        <v>599</v>
      </c>
      <c r="G45" s="50" t="s">
        <v>44</v>
      </c>
      <c r="H45" s="42" t="s">
        <v>600</v>
      </c>
      <c r="I45" s="77"/>
      <c r="J45" s="77"/>
      <c r="K45" s="135"/>
      <c r="L45" s="130">
        <v>46278.0</v>
      </c>
      <c r="M45" s="2"/>
    </row>
    <row r="46" ht="22.5" customHeight="1">
      <c r="A46" s="42" t="s">
        <v>611</v>
      </c>
      <c r="B46" s="42" t="s">
        <v>74</v>
      </c>
      <c r="C46" s="42" t="s">
        <v>77</v>
      </c>
      <c r="D46" s="42" t="s">
        <v>90</v>
      </c>
      <c r="E46" s="45" t="s">
        <v>616</v>
      </c>
      <c r="F46" s="48" t="s">
        <v>599</v>
      </c>
      <c r="G46" s="50" t="s">
        <v>617</v>
      </c>
      <c r="H46" s="42" t="s">
        <v>618</v>
      </c>
      <c r="I46" s="77"/>
      <c r="J46" s="77"/>
      <c r="K46" s="135"/>
      <c r="L46" s="130">
        <v>46588.0</v>
      </c>
      <c r="M46" s="2"/>
    </row>
    <row r="47" ht="22.5" customHeight="1">
      <c r="A47" s="42" t="s">
        <v>611</v>
      </c>
      <c r="B47" s="42" t="s">
        <v>621</v>
      </c>
      <c r="C47" s="42" t="s">
        <v>77</v>
      </c>
      <c r="D47" s="42" t="s">
        <v>622</v>
      </c>
      <c r="E47" s="45" t="s">
        <v>623</v>
      </c>
      <c r="F47" s="48" t="s">
        <v>599</v>
      </c>
      <c r="G47" s="50" t="s">
        <v>617</v>
      </c>
      <c r="H47" s="42" t="s">
        <v>618</v>
      </c>
      <c r="I47" s="77"/>
      <c r="J47" s="77"/>
      <c r="K47" s="135"/>
      <c r="L47" s="130">
        <v>46668.0</v>
      </c>
      <c r="M47" s="2"/>
    </row>
    <row r="48" ht="22.5" customHeight="1">
      <c r="A48" s="42" t="s">
        <v>611</v>
      </c>
      <c r="B48" s="42" t="s">
        <v>120</v>
      </c>
      <c r="C48" s="42" t="s">
        <v>77</v>
      </c>
      <c r="D48" s="42" t="s">
        <v>124</v>
      </c>
      <c r="E48" s="45" t="s">
        <v>628</v>
      </c>
      <c r="F48" s="48" t="s">
        <v>599</v>
      </c>
      <c r="G48" s="50" t="s">
        <v>617</v>
      </c>
      <c r="H48" s="42" t="s">
        <v>618</v>
      </c>
      <c r="I48" s="77"/>
      <c r="J48" s="77"/>
      <c r="K48" s="135"/>
      <c r="L48" s="130">
        <v>46585.0</v>
      </c>
      <c r="M48" s="2"/>
    </row>
    <row r="49" ht="22.5" customHeight="1">
      <c r="A49" s="42" t="s">
        <v>631</v>
      </c>
      <c r="B49" s="42" t="s">
        <v>74</v>
      </c>
      <c r="C49" s="42" t="s">
        <v>77</v>
      </c>
      <c r="D49" s="137" t="s">
        <v>392</v>
      </c>
      <c r="E49" s="45" t="s">
        <v>634</v>
      </c>
      <c r="F49" s="48" t="s">
        <v>85</v>
      </c>
      <c r="G49" s="134" t="s">
        <v>617</v>
      </c>
      <c r="H49" s="137"/>
      <c r="I49" s="138"/>
      <c r="J49" s="138"/>
      <c r="K49" s="134" t="s">
        <v>47</v>
      </c>
      <c r="L49" s="42" t="s">
        <v>637</v>
      </c>
      <c r="M49" s="2"/>
    </row>
    <row r="50" ht="22.5" customHeight="1">
      <c r="A50" s="42" t="s">
        <v>631</v>
      </c>
      <c r="B50" s="42" t="s">
        <v>74</v>
      </c>
      <c r="C50" s="42" t="s">
        <v>77</v>
      </c>
      <c r="D50" s="42" t="s">
        <v>188</v>
      </c>
      <c r="E50" s="45" t="s">
        <v>643</v>
      </c>
      <c r="F50" s="48" t="s">
        <v>85</v>
      </c>
      <c r="G50" s="134" t="s">
        <v>617</v>
      </c>
      <c r="H50" s="137"/>
      <c r="I50" s="138"/>
      <c r="J50" s="138"/>
      <c r="K50" s="134" t="s">
        <v>47</v>
      </c>
      <c r="L50" s="42" t="s">
        <v>637</v>
      </c>
      <c r="M50" s="2"/>
    </row>
    <row r="51" ht="22.5" customHeight="1">
      <c r="A51" s="42" t="s">
        <v>631</v>
      </c>
      <c r="B51" s="42" t="s">
        <v>74</v>
      </c>
      <c r="C51" s="42" t="s">
        <v>77</v>
      </c>
      <c r="D51" s="42" t="s">
        <v>365</v>
      </c>
      <c r="E51" s="45" t="s">
        <v>647</v>
      </c>
      <c r="F51" s="48" t="s">
        <v>85</v>
      </c>
      <c r="G51" s="134" t="s">
        <v>617</v>
      </c>
      <c r="H51" s="137"/>
      <c r="I51" s="138"/>
      <c r="J51" s="138"/>
      <c r="K51" s="134" t="s">
        <v>47</v>
      </c>
      <c r="L51" s="42" t="s">
        <v>637</v>
      </c>
      <c r="M51" s="2"/>
    </row>
    <row r="52">
      <c r="A52" s="2"/>
      <c r="B52" s="2"/>
      <c r="C52" s="2"/>
      <c r="D52" s="2"/>
      <c r="E52" s="2"/>
      <c r="F52" s="139"/>
      <c r="G52" s="2"/>
      <c r="H52" s="2"/>
      <c r="I52" s="2"/>
      <c r="J52" s="2"/>
      <c r="K52" s="2"/>
      <c r="L52" s="2"/>
      <c r="M52" s="2"/>
    </row>
    <row r="53">
      <c r="M53" s="2"/>
    </row>
    <row r="54">
      <c r="M54" s="2"/>
    </row>
    <row r="55">
      <c r="M55" s="2"/>
    </row>
  </sheetData>
  <mergeCells count="1">
    <mergeCell ref="A1:L4"/>
  </mergeCells>
  <dataValidations>
    <dataValidation type="list" allowBlank="1" sqref="G6:G51">
      <formula1>"COM CONTRATO,GARANTIA,SEM CONTRATO,DESAFETAR"</formula1>
    </dataValidation>
    <dataValidation type="list" allowBlank="1" sqref="K6:K51">
      <formula1>"INOPERANTE,DESATIVADO - SAL,FUNCIONANDO,FUNCIONANDO COM PENDÊNCIA,SUCATA"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60.0"/>
    <col customWidth="1" min="3" max="3" width="21.38"/>
    <col customWidth="1" min="4" max="4" width="42.0"/>
    <col customWidth="1" min="5" max="5" width="26.88"/>
    <col customWidth="1" min="6" max="6" width="28.25"/>
    <col customWidth="1" min="7" max="7" width="28.5"/>
    <col customWidth="1" min="8" max="8" width="97.88"/>
    <col customWidth="1" min="9" max="9" width="37.13"/>
    <col customWidth="1" min="10" max="10" width="28.75"/>
    <col customWidth="1" min="11" max="12" width="26.5"/>
  </cols>
  <sheetData>
    <row r="1">
      <c r="A1" s="1" t="s">
        <v>193</v>
      </c>
      <c r="B1" s="2"/>
      <c r="C1" s="2"/>
      <c r="D1" s="2"/>
      <c r="E1" s="2"/>
      <c r="F1" s="89"/>
      <c r="G1" s="89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89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89"/>
      <c r="G3" s="2"/>
      <c r="H3" s="2"/>
      <c r="I3" s="2"/>
      <c r="J3" s="1"/>
    </row>
    <row r="4" ht="22.5" customHeight="1">
      <c r="A4" s="42" t="s">
        <v>13</v>
      </c>
      <c r="B4" s="93" t="s">
        <v>4</v>
      </c>
      <c r="C4" s="93" t="s">
        <v>5</v>
      </c>
      <c r="D4" s="42" t="s">
        <v>8</v>
      </c>
      <c r="E4" s="42" t="s">
        <v>12</v>
      </c>
      <c r="F4" s="42" t="s">
        <v>9</v>
      </c>
      <c r="G4" s="42" t="s">
        <v>208</v>
      </c>
      <c r="H4" s="93" t="s">
        <v>62</v>
      </c>
      <c r="I4" s="42" t="s">
        <v>22</v>
      </c>
      <c r="J4" s="93" t="s">
        <v>19</v>
      </c>
      <c r="K4" s="2"/>
      <c r="L4" s="2"/>
    </row>
    <row r="5" ht="22.5" customHeight="1">
      <c r="A5" s="42" t="s">
        <v>44</v>
      </c>
      <c r="B5" s="42" t="s">
        <v>214</v>
      </c>
      <c r="C5" s="42" t="s">
        <v>215</v>
      </c>
      <c r="D5" s="42" t="s">
        <v>217</v>
      </c>
      <c r="E5" s="50" t="s">
        <v>220</v>
      </c>
      <c r="F5" s="42" t="s">
        <v>222</v>
      </c>
      <c r="G5" s="42" t="s">
        <v>224</v>
      </c>
      <c r="H5" s="42"/>
      <c r="I5" s="50" t="s">
        <v>47</v>
      </c>
      <c r="J5" s="42" t="s">
        <v>226</v>
      </c>
      <c r="K5" s="2"/>
      <c r="L5" s="2"/>
    </row>
    <row r="6" ht="22.5" customHeight="1">
      <c r="A6" s="42" t="s">
        <v>44</v>
      </c>
      <c r="B6" s="42" t="s">
        <v>32</v>
      </c>
      <c r="C6" s="42" t="s">
        <v>215</v>
      </c>
      <c r="D6" s="42" t="s">
        <v>235</v>
      </c>
      <c r="E6" s="50" t="s">
        <v>220</v>
      </c>
      <c r="F6" s="42" t="s">
        <v>237</v>
      </c>
      <c r="G6" s="42" t="s">
        <v>224</v>
      </c>
      <c r="H6" s="42"/>
      <c r="I6" s="50" t="s">
        <v>47</v>
      </c>
      <c r="J6" s="42" t="s">
        <v>226</v>
      </c>
      <c r="K6" s="2"/>
      <c r="L6" s="2"/>
    </row>
    <row r="7" ht="22.5" customHeight="1">
      <c r="A7" s="42" t="s">
        <v>44</v>
      </c>
      <c r="B7" s="42" t="s">
        <v>32</v>
      </c>
      <c r="C7" s="42" t="s">
        <v>215</v>
      </c>
      <c r="D7" s="42" t="s">
        <v>235</v>
      </c>
      <c r="E7" s="50" t="s">
        <v>220</v>
      </c>
      <c r="F7" s="42" t="s">
        <v>244</v>
      </c>
      <c r="G7" s="42" t="s">
        <v>224</v>
      </c>
      <c r="H7" s="42"/>
      <c r="I7" s="50" t="s">
        <v>47</v>
      </c>
      <c r="J7" s="42" t="s">
        <v>226</v>
      </c>
      <c r="K7" s="2"/>
      <c r="L7" s="2"/>
    </row>
    <row r="8" ht="22.5" customHeight="1">
      <c r="A8" s="42" t="s">
        <v>44</v>
      </c>
      <c r="B8" s="42" t="s">
        <v>32</v>
      </c>
      <c r="C8" s="42" t="s">
        <v>215</v>
      </c>
      <c r="D8" s="42" t="s">
        <v>252</v>
      </c>
      <c r="E8" s="50" t="s">
        <v>220</v>
      </c>
      <c r="F8" s="42" t="s">
        <v>255</v>
      </c>
      <c r="G8" s="42" t="s">
        <v>224</v>
      </c>
      <c r="H8" s="42"/>
      <c r="I8" s="50" t="s">
        <v>47</v>
      </c>
      <c r="J8" s="42" t="s">
        <v>226</v>
      </c>
      <c r="K8" s="2"/>
      <c r="L8" s="2"/>
    </row>
    <row r="9" ht="22.5" customHeight="1">
      <c r="A9" s="42" t="s">
        <v>44</v>
      </c>
      <c r="B9" s="42" t="s">
        <v>32</v>
      </c>
      <c r="C9" s="42" t="s">
        <v>215</v>
      </c>
      <c r="D9" s="42" t="s">
        <v>252</v>
      </c>
      <c r="E9" s="50" t="s">
        <v>220</v>
      </c>
      <c r="F9" s="42" t="s">
        <v>272</v>
      </c>
      <c r="G9" s="42" t="s">
        <v>224</v>
      </c>
      <c r="H9" s="42"/>
      <c r="I9" s="50" t="s">
        <v>47</v>
      </c>
      <c r="J9" s="42" t="s">
        <v>226</v>
      </c>
      <c r="K9" s="2"/>
      <c r="L9" s="2"/>
    </row>
    <row r="10" ht="22.5" customHeight="1">
      <c r="A10" s="42" t="s">
        <v>44</v>
      </c>
      <c r="B10" s="42" t="s">
        <v>32</v>
      </c>
      <c r="C10" s="42" t="s">
        <v>215</v>
      </c>
      <c r="D10" s="42" t="s">
        <v>286</v>
      </c>
      <c r="E10" s="50" t="s">
        <v>220</v>
      </c>
      <c r="F10" s="42" t="s">
        <v>287</v>
      </c>
      <c r="G10" s="42" t="s">
        <v>224</v>
      </c>
      <c r="H10" s="42"/>
      <c r="I10" s="50" t="s">
        <v>47</v>
      </c>
      <c r="J10" s="42" t="s">
        <v>226</v>
      </c>
      <c r="K10" s="2"/>
      <c r="L10" s="2"/>
    </row>
    <row r="11" ht="22.5" customHeight="1">
      <c r="A11" s="42" t="s">
        <v>44</v>
      </c>
      <c r="B11" s="42" t="s">
        <v>32</v>
      </c>
      <c r="C11" s="42" t="s">
        <v>215</v>
      </c>
      <c r="D11" s="42" t="s">
        <v>301</v>
      </c>
      <c r="E11" s="50" t="s">
        <v>220</v>
      </c>
      <c r="F11" s="42" t="s">
        <v>304</v>
      </c>
      <c r="G11" s="42" t="s">
        <v>224</v>
      </c>
      <c r="H11" s="42"/>
      <c r="I11" s="50" t="s">
        <v>47</v>
      </c>
      <c r="J11" s="42" t="s">
        <v>226</v>
      </c>
      <c r="K11" s="2"/>
      <c r="L11" s="2"/>
    </row>
    <row r="12" ht="22.5" customHeight="1">
      <c r="A12" s="42" t="s">
        <v>44</v>
      </c>
      <c r="B12" s="42" t="s">
        <v>32</v>
      </c>
      <c r="C12" s="42" t="s">
        <v>215</v>
      </c>
      <c r="D12" s="42" t="s">
        <v>309</v>
      </c>
      <c r="E12" s="50" t="s">
        <v>220</v>
      </c>
      <c r="F12" s="42">
        <v>14766.0</v>
      </c>
      <c r="G12" s="42" t="s">
        <v>224</v>
      </c>
      <c r="H12" s="42"/>
      <c r="I12" s="50" t="s">
        <v>47</v>
      </c>
      <c r="J12" s="42" t="s">
        <v>226</v>
      </c>
      <c r="K12" s="2"/>
      <c r="L12" s="2"/>
    </row>
    <row r="13" ht="22.5" customHeight="1">
      <c r="A13" s="42" t="s">
        <v>44</v>
      </c>
      <c r="B13" s="42" t="s">
        <v>32</v>
      </c>
      <c r="C13" s="42" t="s">
        <v>215</v>
      </c>
      <c r="D13" s="42" t="s">
        <v>313</v>
      </c>
      <c r="E13" s="50" t="s">
        <v>220</v>
      </c>
      <c r="F13" s="42">
        <v>39604.0</v>
      </c>
      <c r="G13" s="42" t="s">
        <v>224</v>
      </c>
      <c r="H13" s="42"/>
      <c r="I13" s="50" t="s">
        <v>47</v>
      </c>
      <c r="J13" s="42" t="s">
        <v>226</v>
      </c>
      <c r="K13" s="2"/>
      <c r="L13" s="2"/>
    </row>
    <row r="14" ht="22.5" customHeight="1">
      <c r="A14" s="42" t="s">
        <v>44</v>
      </c>
      <c r="B14" s="42" t="s">
        <v>32</v>
      </c>
      <c r="C14" s="42" t="s">
        <v>215</v>
      </c>
      <c r="D14" s="42" t="s">
        <v>319</v>
      </c>
      <c r="E14" s="50" t="s">
        <v>220</v>
      </c>
      <c r="F14" s="42" t="s">
        <v>320</v>
      </c>
      <c r="G14" s="42" t="s">
        <v>224</v>
      </c>
      <c r="H14" s="42"/>
      <c r="I14" s="50" t="s">
        <v>47</v>
      </c>
      <c r="J14" s="42" t="s">
        <v>226</v>
      </c>
      <c r="K14" s="2"/>
      <c r="L14" s="2"/>
    </row>
    <row r="15" ht="22.5" customHeight="1">
      <c r="A15" s="42" t="s">
        <v>44</v>
      </c>
      <c r="B15" s="42" t="s">
        <v>32</v>
      </c>
      <c r="C15" s="42" t="s">
        <v>215</v>
      </c>
      <c r="D15" s="42" t="s">
        <v>319</v>
      </c>
      <c r="E15" s="50" t="s">
        <v>220</v>
      </c>
      <c r="F15" s="42" t="s">
        <v>323</v>
      </c>
      <c r="G15" s="42" t="s">
        <v>224</v>
      </c>
      <c r="H15" s="42"/>
      <c r="I15" s="50" t="s">
        <v>47</v>
      </c>
      <c r="J15" s="42" t="s">
        <v>226</v>
      </c>
      <c r="K15" s="2"/>
      <c r="L15" s="2"/>
    </row>
    <row r="16" ht="22.5" customHeight="1">
      <c r="A16" s="42" t="s">
        <v>44</v>
      </c>
      <c r="B16" s="42" t="s">
        <v>32</v>
      </c>
      <c r="C16" s="42" t="s">
        <v>215</v>
      </c>
      <c r="D16" s="42" t="s">
        <v>326</v>
      </c>
      <c r="E16" s="50" t="s">
        <v>220</v>
      </c>
      <c r="F16" s="42" t="s">
        <v>327</v>
      </c>
      <c r="G16" s="42" t="s">
        <v>224</v>
      </c>
      <c r="H16" s="42"/>
      <c r="I16" s="50" t="s">
        <v>47</v>
      </c>
      <c r="J16" s="42" t="s">
        <v>226</v>
      </c>
      <c r="K16" s="2"/>
      <c r="L16" s="2"/>
    </row>
    <row r="17" ht="22.5" customHeight="1">
      <c r="A17" s="42" t="s">
        <v>44</v>
      </c>
      <c r="B17" s="42" t="s">
        <v>32</v>
      </c>
      <c r="C17" s="42" t="s">
        <v>215</v>
      </c>
      <c r="D17" s="42" t="s">
        <v>326</v>
      </c>
      <c r="E17" s="50" t="s">
        <v>220</v>
      </c>
      <c r="F17" s="42" t="s">
        <v>334</v>
      </c>
      <c r="G17" s="42" t="s">
        <v>224</v>
      </c>
      <c r="H17" s="42"/>
      <c r="I17" s="50" t="s">
        <v>47</v>
      </c>
      <c r="J17" s="42" t="s">
        <v>226</v>
      </c>
      <c r="K17" s="2"/>
      <c r="L17" s="2"/>
    </row>
    <row r="18" ht="22.5" customHeight="1">
      <c r="A18" s="42" t="s">
        <v>44</v>
      </c>
      <c r="B18" s="42" t="s">
        <v>32</v>
      </c>
      <c r="C18" s="42" t="s">
        <v>215</v>
      </c>
      <c r="D18" s="42" t="s">
        <v>326</v>
      </c>
      <c r="E18" s="50" t="s">
        <v>220</v>
      </c>
      <c r="F18" s="42" t="s">
        <v>339</v>
      </c>
      <c r="G18" s="42" t="s">
        <v>224</v>
      </c>
      <c r="H18" s="42"/>
      <c r="I18" s="50" t="s">
        <v>47</v>
      </c>
      <c r="J18" s="42" t="s">
        <v>226</v>
      </c>
      <c r="K18" s="2"/>
      <c r="L18" s="2"/>
    </row>
    <row r="19" ht="22.5" customHeight="1">
      <c r="A19" s="42" t="s">
        <v>44</v>
      </c>
      <c r="B19" s="42" t="s">
        <v>32</v>
      </c>
      <c r="C19" s="42" t="s">
        <v>215</v>
      </c>
      <c r="D19" s="42" t="s">
        <v>326</v>
      </c>
      <c r="E19" s="50" t="s">
        <v>220</v>
      </c>
      <c r="F19" s="42" t="s">
        <v>342</v>
      </c>
      <c r="G19" s="42" t="s">
        <v>224</v>
      </c>
      <c r="H19" s="42"/>
      <c r="I19" s="50" t="s">
        <v>47</v>
      </c>
      <c r="J19" s="42" t="s">
        <v>226</v>
      </c>
      <c r="K19" s="2"/>
      <c r="L19" s="2"/>
    </row>
    <row r="20" ht="22.5" customHeight="1">
      <c r="A20" s="42" t="s">
        <v>44</v>
      </c>
      <c r="B20" s="42" t="s">
        <v>32</v>
      </c>
      <c r="C20" s="42" t="s">
        <v>215</v>
      </c>
      <c r="D20" s="42" t="s">
        <v>345</v>
      </c>
      <c r="E20" s="50" t="s">
        <v>220</v>
      </c>
      <c r="F20" s="42" t="s">
        <v>347</v>
      </c>
      <c r="G20" s="42" t="s">
        <v>224</v>
      </c>
      <c r="H20" s="42"/>
      <c r="I20" s="50" t="s">
        <v>47</v>
      </c>
      <c r="J20" s="42" t="s">
        <v>226</v>
      </c>
      <c r="K20" s="2"/>
      <c r="L20" s="2"/>
    </row>
    <row r="21" ht="22.5" customHeight="1">
      <c r="A21" s="42" t="s">
        <v>44</v>
      </c>
      <c r="B21" s="42" t="s">
        <v>32</v>
      </c>
      <c r="C21" s="42" t="s">
        <v>215</v>
      </c>
      <c r="D21" s="42" t="s">
        <v>188</v>
      </c>
      <c r="E21" s="50" t="s">
        <v>220</v>
      </c>
      <c r="F21" s="42" t="s">
        <v>351</v>
      </c>
      <c r="G21" s="42" t="s">
        <v>224</v>
      </c>
      <c r="H21" s="42"/>
      <c r="I21" s="50" t="s">
        <v>47</v>
      </c>
      <c r="J21" s="42" t="s">
        <v>226</v>
      </c>
      <c r="K21" s="2"/>
      <c r="L21" s="2"/>
    </row>
    <row r="22" ht="22.5" customHeight="1">
      <c r="A22" s="42" t="s">
        <v>44</v>
      </c>
      <c r="B22" s="42" t="s">
        <v>32</v>
      </c>
      <c r="C22" s="42" t="s">
        <v>215</v>
      </c>
      <c r="D22" s="42" t="s">
        <v>188</v>
      </c>
      <c r="E22" s="50" t="s">
        <v>220</v>
      </c>
      <c r="F22" s="42" t="s">
        <v>355</v>
      </c>
      <c r="G22" s="42" t="s">
        <v>224</v>
      </c>
      <c r="H22" s="42"/>
      <c r="I22" s="50" t="s">
        <v>47</v>
      </c>
      <c r="J22" s="42" t="s">
        <v>226</v>
      </c>
      <c r="K22" s="2"/>
      <c r="L22" s="2"/>
    </row>
    <row r="23" ht="22.5" customHeight="1">
      <c r="A23" s="42" t="s">
        <v>44</v>
      </c>
      <c r="B23" s="42" t="s">
        <v>32</v>
      </c>
      <c r="C23" s="42" t="s">
        <v>215</v>
      </c>
      <c r="D23" s="42" t="s">
        <v>188</v>
      </c>
      <c r="E23" s="50" t="s">
        <v>220</v>
      </c>
      <c r="F23" s="42" t="s">
        <v>359</v>
      </c>
      <c r="G23" s="42" t="s">
        <v>224</v>
      </c>
      <c r="H23" s="42"/>
      <c r="I23" s="50" t="s">
        <v>47</v>
      </c>
      <c r="J23" s="42" t="s">
        <v>226</v>
      </c>
      <c r="K23" s="2"/>
      <c r="L23" s="2"/>
    </row>
    <row r="24" ht="22.5" customHeight="1">
      <c r="A24" s="42" t="s">
        <v>44</v>
      </c>
      <c r="B24" s="42" t="s">
        <v>32</v>
      </c>
      <c r="C24" s="42" t="s">
        <v>215</v>
      </c>
      <c r="D24" s="42" t="s">
        <v>188</v>
      </c>
      <c r="E24" s="50" t="s">
        <v>220</v>
      </c>
      <c r="F24" s="42" t="s">
        <v>362</v>
      </c>
      <c r="G24" s="42" t="s">
        <v>224</v>
      </c>
      <c r="H24" s="42"/>
      <c r="I24" s="50" t="s">
        <v>47</v>
      </c>
      <c r="J24" s="42" t="s">
        <v>226</v>
      </c>
      <c r="K24" s="2"/>
      <c r="L24" s="2"/>
    </row>
    <row r="25" ht="22.5" customHeight="1">
      <c r="A25" s="42" t="s">
        <v>44</v>
      </c>
      <c r="B25" s="42" t="s">
        <v>32</v>
      </c>
      <c r="C25" s="42" t="s">
        <v>215</v>
      </c>
      <c r="D25" s="42" t="s">
        <v>365</v>
      </c>
      <c r="E25" s="50" t="s">
        <v>220</v>
      </c>
      <c r="F25" s="42" t="s">
        <v>367</v>
      </c>
      <c r="G25" s="42" t="s">
        <v>224</v>
      </c>
      <c r="H25" s="42"/>
      <c r="I25" s="50" t="s">
        <v>47</v>
      </c>
      <c r="J25" s="42" t="s">
        <v>226</v>
      </c>
      <c r="K25" s="2"/>
      <c r="L25" s="2"/>
    </row>
    <row r="26" ht="22.5" customHeight="1">
      <c r="A26" s="42" t="s">
        <v>44</v>
      </c>
      <c r="B26" s="42" t="s">
        <v>32</v>
      </c>
      <c r="C26" s="42" t="s">
        <v>215</v>
      </c>
      <c r="D26" s="42" t="s">
        <v>365</v>
      </c>
      <c r="E26" s="50" t="s">
        <v>220</v>
      </c>
      <c r="F26" s="42" t="s">
        <v>372</v>
      </c>
      <c r="G26" s="42" t="s">
        <v>224</v>
      </c>
      <c r="H26" s="42"/>
      <c r="I26" s="50" t="s">
        <v>47</v>
      </c>
      <c r="J26" s="42" t="s">
        <v>226</v>
      </c>
      <c r="K26" s="2"/>
      <c r="L26" s="2"/>
    </row>
    <row r="27" ht="22.5" customHeight="1">
      <c r="A27" s="42" t="s">
        <v>44</v>
      </c>
      <c r="B27" s="42" t="s">
        <v>32</v>
      </c>
      <c r="C27" s="42" t="s">
        <v>215</v>
      </c>
      <c r="D27" s="42" t="s">
        <v>365</v>
      </c>
      <c r="E27" s="50" t="s">
        <v>220</v>
      </c>
      <c r="F27" s="42" t="s">
        <v>378</v>
      </c>
      <c r="G27" s="42" t="s">
        <v>224</v>
      </c>
      <c r="H27" s="42"/>
      <c r="I27" s="50" t="s">
        <v>47</v>
      </c>
      <c r="J27" s="42" t="s">
        <v>226</v>
      </c>
      <c r="K27" s="2"/>
      <c r="L27" s="2"/>
    </row>
    <row r="28" ht="22.5" customHeight="1">
      <c r="A28" s="42" t="s">
        <v>44</v>
      </c>
      <c r="B28" s="42" t="s">
        <v>214</v>
      </c>
      <c r="C28" s="42" t="s">
        <v>215</v>
      </c>
      <c r="D28" s="42" t="s">
        <v>385</v>
      </c>
      <c r="E28" s="50" t="s">
        <v>220</v>
      </c>
      <c r="F28" s="42" t="s">
        <v>388</v>
      </c>
      <c r="G28" s="42" t="s">
        <v>224</v>
      </c>
      <c r="H28" s="42"/>
      <c r="I28" s="50" t="s">
        <v>47</v>
      </c>
      <c r="J28" s="42" t="s">
        <v>226</v>
      </c>
      <c r="K28" s="2"/>
      <c r="L28" s="2"/>
    </row>
    <row r="29" ht="22.5" customHeight="1">
      <c r="A29" s="42" t="s">
        <v>44</v>
      </c>
      <c r="B29" s="42" t="s">
        <v>32</v>
      </c>
      <c r="C29" s="42" t="s">
        <v>215</v>
      </c>
      <c r="D29" s="42" t="s">
        <v>392</v>
      </c>
      <c r="E29" s="50" t="s">
        <v>220</v>
      </c>
      <c r="F29" s="42" t="s">
        <v>393</v>
      </c>
      <c r="G29" s="42" t="s">
        <v>224</v>
      </c>
      <c r="H29" s="42"/>
      <c r="I29" s="50" t="s">
        <v>47</v>
      </c>
      <c r="J29" s="42" t="s">
        <v>226</v>
      </c>
      <c r="K29" s="2"/>
      <c r="L29" s="2"/>
    </row>
    <row r="30" ht="22.5" customHeight="1">
      <c r="A30" s="42" t="s">
        <v>44</v>
      </c>
      <c r="B30" s="42" t="s">
        <v>32</v>
      </c>
      <c r="C30" s="42" t="s">
        <v>215</v>
      </c>
      <c r="D30" s="42" t="s">
        <v>392</v>
      </c>
      <c r="E30" s="50" t="s">
        <v>220</v>
      </c>
      <c r="F30" s="42" t="s">
        <v>394</v>
      </c>
      <c r="G30" s="42" t="s">
        <v>224</v>
      </c>
      <c r="H30" s="42"/>
      <c r="I30" s="50" t="s">
        <v>47</v>
      </c>
      <c r="J30" s="42" t="s">
        <v>226</v>
      </c>
      <c r="K30" s="2"/>
      <c r="L30" s="2"/>
    </row>
    <row r="31" ht="22.5" customHeight="1">
      <c r="A31" s="42" t="s">
        <v>44</v>
      </c>
      <c r="B31" s="42" t="s">
        <v>32</v>
      </c>
      <c r="C31" s="42" t="s">
        <v>215</v>
      </c>
      <c r="D31" s="42" t="s">
        <v>392</v>
      </c>
      <c r="E31" s="50" t="s">
        <v>220</v>
      </c>
      <c r="F31" s="42" t="s">
        <v>397</v>
      </c>
      <c r="G31" s="42" t="s">
        <v>224</v>
      </c>
      <c r="H31" s="42"/>
      <c r="I31" s="50" t="s">
        <v>47</v>
      </c>
      <c r="J31" s="42" t="s">
        <v>226</v>
      </c>
      <c r="K31" s="2"/>
      <c r="L31" s="2"/>
    </row>
    <row r="32" ht="22.5" customHeight="1">
      <c r="A32" s="42" t="s">
        <v>44</v>
      </c>
      <c r="B32" s="42" t="s">
        <v>32</v>
      </c>
      <c r="C32" s="42" t="s">
        <v>215</v>
      </c>
      <c r="D32" s="42" t="s">
        <v>392</v>
      </c>
      <c r="E32" s="50" t="s">
        <v>220</v>
      </c>
      <c r="F32" s="42" t="s">
        <v>403</v>
      </c>
      <c r="G32" s="42" t="s">
        <v>224</v>
      </c>
      <c r="H32" s="42"/>
      <c r="I32" s="50" t="s">
        <v>47</v>
      </c>
      <c r="J32" s="42" t="s">
        <v>226</v>
      </c>
      <c r="K32" s="2"/>
      <c r="L32" s="2"/>
    </row>
    <row r="33" ht="22.5" customHeight="1">
      <c r="A33" s="42" t="s">
        <v>44</v>
      </c>
      <c r="B33" s="42" t="s">
        <v>32</v>
      </c>
      <c r="C33" s="42" t="s">
        <v>215</v>
      </c>
      <c r="D33" s="42" t="s">
        <v>177</v>
      </c>
      <c r="E33" s="50" t="s">
        <v>220</v>
      </c>
      <c r="F33" s="42">
        <v>35794.0</v>
      </c>
      <c r="G33" s="42" t="s">
        <v>224</v>
      </c>
      <c r="H33" s="42"/>
      <c r="I33" s="50" t="s">
        <v>47</v>
      </c>
      <c r="J33" s="42" t="s">
        <v>226</v>
      </c>
      <c r="K33" s="2"/>
      <c r="L33" s="2"/>
    </row>
    <row r="34" ht="22.5" customHeight="1">
      <c r="A34" s="42" t="s">
        <v>44</v>
      </c>
      <c r="B34" s="42" t="s">
        <v>32</v>
      </c>
      <c r="C34" s="42" t="s">
        <v>215</v>
      </c>
      <c r="D34" s="42" t="s">
        <v>177</v>
      </c>
      <c r="E34" s="50" t="s">
        <v>220</v>
      </c>
      <c r="F34" s="42" t="s">
        <v>407</v>
      </c>
      <c r="G34" s="42" t="s">
        <v>224</v>
      </c>
      <c r="H34" s="42"/>
      <c r="I34" s="50" t="s">
        <v>47</v>
      </c>
      <c r="J34" s="42" t="s">
        <v>226</v>
      </c>
      <c r="K34" s="2"/>
      <c r="L34" s="2"/>
    </row>
    <row r="35" ht="22.5" customHeight="1">
      <c r="A35" s="42" t="s">
        <v>44</v>
      </c>
      <c r="B35" s="42" t="s">
        <v>32</v>
      </c>
      <c r="C35" s="42" t="s">
        <v>215</v>
      </c>
      <c r="D35" s="42" t="s">
        <v>177</v>
      </c>
      <c r="E35" s="50" t="s">
        <v>294</v>
      </c>
      <c r="F35" s="42" t="s">
        <v>415</v>
      </c>
      <c r="G35" s="42" t="s">
        <v>224</v>
      </c>
      <c r="H35" s="42"/>
      <c r="I35" s="50" t="s">
        <v>47</v>
      </c>
      <c r="J35" s="42" t="s">
        <v>226</v>
      </c>
      <c r="K35" s="2"/>
      <c r="L35" s="2"/>
    </row>
    <row r="36" ht="22.5" customHeight="1">
      <c r="A36" s="42" t="s">
        <v>44</v>
      </c>
      <c r="B36" s="42" t="s">
        <v>32</v>
      </c>
      <c r="C36" s="42" t="s">
        <v>215</v>
      </c>
      <c r="D36" s="42" t="s">
        <v>90</v>
      </c>
      <c r="E36" s="50" t="s">
        <v>220</v>
      </c>
      <c r="F36" s="42" t="s">
        <v>416</v>
      </c>
      <c r="G36" s="42" t="s">
        <v>224</v>
      </c>
      <c r="H36" s="42"/>
      <c r="I36" s="50" t="s">
        <v>47</v>
      </c>
      <c r="J36" s="42" t="s">
        <v>226</v>
      </c>
      <c r="K36" s="2"/>
      <c r="L36" s="2"/>
    </row>
    <row r="37" ht="22.5" customHeight="1">
      <c r="A37" s="42" t="s">
        <v>44</v>
      </c>
      <c r="B37" s="42" t="s">
        <v>32</v>
      </c>
      <c r="C37" s="42" t="s">
        <v>215</v>
      </c>
      <c r="D37" s="42" t="s">
        <v>90</v>
      </c>
      <c r="E37" s="50" t="s">
        <v>220</v>
      </c>
      <c r="F37" s="42" t="s">
        <v>418</v>
      </c>
      <c r="G37" s="42" t="s">
        <v>224</v>
      </c>
      <c r="H37" s="42"/>
      <c r="I37" s="50" t="s">
        <v>47</v>
      </c>
      <c r="J37" s="42" t="s">
        <v>226</v>
      </c>
      <c r="K37" s="2"/>
      <c r="L37" s="2"/>
    </row>
    <row r="38" ht="22.5" customHeight="1">
      <c r="A38" s="42" t="s">
        <v>44</v>
      </c>
      <c r="B38" s="42" t="s">
        <v>32</v>
      </c>
      <c r="C38" s="42" t="s">
        <v>215</v>
      </c>
      <c r="D38" s="42" t="s">
        <v>90</v>
      </c>
      <c r="E38" s="50" t="s">
        <v>220</v>
      </c>
      <c r="F38" s="42" t="s">
        <v>424</v>
      </c>
      <c r="G38" s="42">
        <v>12965.0</v>
      </c>
      <c r="H38" s="42"/>
      <c r="I38" s="50" t="s">
        <v>47</v>
      </c>
      <c r="J38" s="42" t="s">
        <v>226</v>
      </c>
      <c r="K38" s="2"/>
      <c r="L38" s="2"/>
    </row>
    <row r="39" ht="22.5" customHeight="1">
      <c r="A39" s="42" t="s">
        <v>44</v>
      </c>
      <c r="B39" s="42" t="s">
        <v>426</v>
      </c>
      <c r="C39" s="42" t="s">
        <v>215</v>
      </c>
      <c r="D39" s="42" t="s">
        <v>428</v>
      </c>
      <c r="E39" s="50" t="s">
        <v>220</v>
      </c>
      <c r="F39" s="42" t="s">
        <v>415</v>
      </c>
      <c r="G39" s="42" t="s">
        <v>224</v>
      </c>
      <c r="H39" s="42"/>
      <c r="I39" s="50" t="s">
        <v>47</v>
      </c>
      <c r="J39" s="42" t="s">
        <v>226</v>
      </c>
      <c r="K39" s="2"/>
      <c r="L39" s="2"/>
    </row>
    <row r="40" ht="22.5" customHeight="1">
      <c r="A40" s="42" t="s">
        <v>44</v>
      </c>
      <c r="B40" s="42" t="s">
        <v>429</v>
      </c>
      <c r="C40" s="42" t="s">
        <v>215</v>
      </c>
      <c r="D40" s="42" t="s">
        <v>430</v>
      </c>
      <c r="E40" s="50" t="s">
        <v>220</v>
      </c>
      <c r="F40" s="42" t="s">
        <v>431</v>
      </c>
      <c r="G40" s="42" t="s">
        <v>224</v>
      </c>
      <c r="H40" s="42"/>
      <c r="I40" s="50" t="s">
        <v>47</v>
      </c>
      <c r="J40" s="42" t="s">
        <v>226</v>
      </c>
      <c r="K40" s="2"/>
      <c r="L40" s="2"/>
    </row>
    <row r="41" ht="22.5" customHeight="1">
      <c r="A41" s="42" t="s">
        <v>44</v>
      </c>
      <c r="B41" s="42" t="s">
        <v>432</v>
      </c>
      <c r="C41" s="42" t="s">
        <v>215</v>
      </c>
      <c r="D41" s="42" t="s">
        <v>209</v>
      </c>
      <c r="E41" s="50" t="s">
        <v>220</v>
      </c>
      <c r="F41" s="42" t="s">
        <v>434</v>
      </c>
      <c r="G41" s="42" t="s">
        <v>224</v>
      </c>
      <c r="H41" s="42"/>
      <c r="I41" s="50" t="s">
        <v>47</v>
      </c>
      <c r="J41" s="42" t="s">
        <v>226</v>
      </c>
      <c r="K41" s="2"/>
      <c r="L41" s="2"/>
    </row>
    <row r="42" ht="22.5" customHeight="1">
      <c r="A42" s="42" t="s">
        <v>44</v>
      </c>
      <c r="B42" s="42" t="s">
        <v>432</v>
      </c>
      <c r="C42" s="42" t="s">
        <v>215</v>
      </c>
      <c r="D42" s="42" t="s">
        <v>209</v>
      </c>
      <c r="E42" s="50" t="s">
        <v>220</v>
      </c>
      <c r="F42" s="42" t="s">
        <v>440</v>
      </c>
      <c r="G42" s="42" t="s">
        <v>224</v>
      </c>
      <c r="H42" s="42"/>
      <c r="I42" s="50" t="s">
        <v>47</v>
      </c>
      <c r="J42" s="42" t="s">
        <v>226</v>
      </c>
      <c r="K42" s="2"/>
      <c r="L42" s="2"/>
    </row>
    <row r="43" ht="22.5" customHeight="1">
      <c r="A43" s="42" t="s">
        <v>44</v>
      </c>
      <c r="B43" s="42" t="s">
        <v>129</v>
      </c>
      <c r="C43" s="42" t="s">
        <v>215</v>
      </c>
      <c r="D43" s="42" t="s">
        <v>131</v>
      </c>
      <c r="E43" s="50" t="s">
        <v>220</v>
      </c>
      <c r="F43" s="42">
        <v>18907.0</v>
      </c>
      <c r="G43" s="42" t="s">
        <v>224</v>
      </c>
      <c r="H43" s="42"/>
      <c r="I43" s="50" t="s">
        <v>47</v>
      </c>
      <c r="J43" s="42" t="s">
        <v>226</v>
      </c>
      <c r="K43" s="2"/>
      <c r="L43" s="2"/>
    </row>
    <row r="44" ht="22.5" customHeight="1">
      <c r="A44" s="42" t="s">
        <v>44</v>
      </c>
      <c r="B44" s="42" t="s">
        <v>129</v>
      </c>
      <c r="C44" s="42" t="s">
        <v>215</v>
      </c>
      <c r="D44" s="42" t="s">
        <v>131</v>
      </c>
      <c r="E44" s="50" t="s">
        <v>220</v>
      </c>
      <c r="F44" s="42" t="s">
        <v>446</v>
      </c>
      <c r="G44" s="42" t="s">
        <v>224</v>
      </c>
      <c r="H44" s="42"/>
      <c r="I44" s="50" t="s">
        <v>47</v>
      </c>
      <c r="J44" s="42" t="s">
        <v>226</v>
      </c>
      <c r="K44" s="2"/>
      <c r="L44" s="2"/>
    </row>
    <row r="45" ht="22.5" customHeight="1">
      <c r="A45" s="42" t="s">
        <v>44</v>
      </c>
      <c r="B45" s="42" t="s">
        <v>129</v>
      </c>
      <c r="C45" s="42" t="s">
        <v>215</v>
      </c>
      <c r="D45" s="42" t="s">
        <v>131</v>
      </c>
      <c r="E45" s="50" t="s">
        <v>220</v>
      </c>
      <c r="F45" s="42" t="s">
        <v>452</v>
      </c>
      <c r="G45" s="42" t="s">
        <v>224</v>
      </c>
      <c r="H45" s="42"/>
      <c r="I45" s="50" t="s">
        <v>47</v>
      </c>
      <c r="J45" s="42" t="s">
        <v>226</v>
      </c>
      <c r="K45" s="2"/>
      <c r="L45" s="2"/>
    </row>
    <row r="46" ht="22.5" customHeight="1">
      <c r="A46" s="42" t="s">
        <v>44</v>
      </c>
      <c r="B46" s="42" t="s">
        <v>129</v>
      </c>
      <c r="C46" s="42" t="s">
        <v>215</v>
      </c>
      <c r="D46" s="42" t="s">
        <v>131</v>
      </c>
      <c r="E46" s="50" t="s">
        <v>220</v>
      </c>
      <c r="F46" s="42" t="s">
        <v>455</v>
      </c>
      <c r="G46" s="42" t="s">
        <v>224</v>
      </c>
      <c r="H46" s="42"/>
      <c r="I46" s="50" t="s">
        <v>47</v>
      </c>
      <c r="J46" s="42" t="s">
        <v>226</v>
      </c>
      <c r="K46" s="2"/>
      <c r="L46" s="2"/>
    </row>
    <row r="47" ht="22.5" customHeight="1">
      <c r="A47" s="42" t="s">
        <v>44</v>
      </c>
      <c r="B47" s="42" t="s">
        <v>186</v>
      </c>
      <c r="C47" s="42" t="s">
        <v>215</v>
      </c>
      <c r="D47" s="42" t="s">
        <v>459</v>
      </c>
      <c r="E47" s="50" t="s">
        <v>220</v>
      </c>
      <c r="F47" s="42" t="s">
        <v>462</v>
      </c>
      <c r="G47" s="42" t="s">
        <v>224</v>
      </c>
      <c r="H47" s="42"/>
      <c r="I47" s="50" t="s">
        <v>47</v>
      </c>
      <c r="J47" s="42" t="s">
        <v>226</v>
      </c>
      <c r="K47" s="2"/>
      <c r="L47" s="2"/>
    </row>
    <row r="48" ht="22.5" customHeight="1">
      <c r="A48" s="42" t="s">
        <v>44</v>
      </c>
      <c r="B48" s="42" t="s">
        <v>186</v>
      </c>
      <c r="C48" s="42" t="s">
        <v>215</v>
      </c>
      <c r="D48" s="42" t="s">
        <v>459</v>
      </c>
      <c r="E48" s="50" t="s">
        <v>220</v>
      </c>
      <c r="F48" s="42" t="s">
        <v>464</v>
      </c>
      <c r="G48" s="42" t="s">
        <v>224</v>
      </c>
      <c r="H48" s="42"/>
      <c r="I48" s="50" t="s">
        <v>47</v>
      </c>
      <c r="J48" s="42" t="s">
        <v>226</v>
      </c>
      <c r="K48" s="2"/>
      <c r="L48" s="2"/>
    </row>
    <row r="49" ht="22.5" customHeight="1">
      <c r="A49" s="42" t="s">
        <v>44</v>
      </c>
      <c r="B49" s="42" t="s">
        <v>186</v>
      </c>
      <c r="C49" s="42" t="s">
        <v>215</v>
      </c>
      <c r="D49" s="42" t="s">
        <v>459</v>
      </c>
      <c r="E49" s="50" t="s">
        <v>220</v>
      </c>
      <c r="F49" s="42" t="s">
        <v>466</v>
      </c>
      <c r="G49" s="42" t="s">
        <v>224</v>
      </c>
      <c r="H49" s="42"/>
      <c r="I49" s="50" t="s">
        <v>47</v>
      </c>
      <c r="J49" s="42" t="s">
        <v>226</v>
      </c>
      <c r="K49" s="2"/>
      <c r="L49" s="2"/>
    </row>
    <row r="50" ht="22.5" customHeight="1">
      <c r="A50" s="42" t="s">
        <v>44</v>
      </c>
      <c r="B50" s="42" t="s">
        <v>433</v>
      </c>
      <c r="C50" s="42" t="s">
        <v>215</v>
      </c>
      <c r="D50" s="42" t="s">
        <v>436</v>
      </c>
      <c r="E50" s="50" t="s">
        <v>220</v>
      </c>
      <c r="F50" s="42" t="s">
        <v>469</v>
      </c>
      <c r="G50" s="42" t="s">
        <v>224</v>
      </c>
      <c r="H50" s="42"/>
      <c r="I50" s="50" t="s">
        <v>47</v>
      </c>
      <c r="J50" s="42" t="s">
        <v>226</v>
      </c>
      <c r="K50" s="2"/>
      <c r="L50" s="2"/>
    </row>
    <row r="51" ht="22.5" customHeight="1">
      <c r="A51" s="42" t="s">
        <v>44</v>
      </c>
      <c r="B51" s="42" t="s">
        <v>433</v>
      </c>
      <c r="C51" s="42" t="s">
        <v>215</v>
      </c>
      <c r="D51" s="42" t="s">
        <v>436</v>
      </c>
      <c r="E51" s="50" t="s">
        <v>220</v>
      </c>
      <c r="F51" s="42">
        <v>34351.0</v>
      </c>
      <c r="G51" s="42" t="s">
        <v>224</v>
      </c>
      <c r="H51" s="42"/>
      <c r="I51" s="50" t="s">
        <v>47</v>
      </c>
      <c r="J51" s="42" t="s">
        <v>226</v>
      </c>
      <c r="K51" s="2"/>
      <c r="L51" s="2"/>
    </row>
    <row r="52" ht="22.5" customHeight="1">
      <c r="A52" s="42" t="s">
        <v>44</v>
      </c>
      <c r="B52" s="42" t="s">
        <v>129</v>
      </c>
      <c r="C52" s="42" t="s">
        <v>215</v>
      </c>
      <c r="D52" s="42" t="s">
        <v>477</v>
      </c>
      <c r="E52" s="50" t="s">
        <v>220</v>
      </c>
      <c r="F52" s="42" t="s">
        <v>478</v>
      </c>
      <c r="G52" s="42">
        <v>38575.0</v>
      </c>
      <c r="H52" s="42"/>
      <c r="I52" s="50" t="s">
        <v>47</v>
      </c>
      <c r="J52" s="42" t="s">
        <v>226</v>
      </c>
      <c r="K52" s="2"/>
      <c r="L52" s="2"/>
    </row>
    <row r="53" ht="22.5" customHeight="1">
      <c r="A53" s="42" t="s">
        <v>44</v>
      </c>
      <c r="B53" s="42" t="s">
        <v>129</v>
      </c>
      <c r="C53" s="42" t="s">
        <v>215</v>
      </c>
      <c r="D53" s="42" t="s">
        <v>477</v>
      </c>
      <c r="E53" s="50" t="s">
        <v>220</v>
      </c>
      <c r="F53" s="42" t="s">
        <v>481</v>
      </c>
      <c r="G53" s="42" t="s">
        <v>224</v>
      </c>
      <c r="H53" s="42"/>
      <c r="I53" s="50" t="s">
        <v>47</v>
      </c>
      <c r="J53" s="42" t="s">
        <v>226</v>
      </c>
      <c r="K53" s="2"/>
      <c r="L53" s="2"/>
    </row>
    <row r="54" ht="22.5" customHeight="1">
      <c r="A54" s="42" t="s">
        <v>44</v>
      </c>
      <c r="B54" s="42" t="s">
        <v>483</v>
      </c>
      <c r="C54" s="42" t="s">
        <v>215</v>
      </c>
      <c r="D54" s="42" t="s">
        <v>484</v>
      </c>
      <c r="E54" s="50" t="s">
        <v>220</v>
      </c>
      <c r="F54" s="42" t="s">
        <v>485</v>
      </c>
      <c r="G54" s="42" t="s">
        <v>224</v>
      </c>
      <c r="H54" s="42"/>
      <c r="I54" s="50" t="s">
        <v>47</v>
      </c>
      <c r="J54" s="42" t="s">
        <v>226</v>
      </c>
      <c r="K54" s="2"/>
      <c r="L54" s="2"/>
    </row>
    <row r="55" ht="22.5" customHeight="1">
      <c r="A55" s="42" t="s">
        <v>44</v>
      </c>
      <c r="B55" s="42" t="s">
        <v>487</v>
      </c>
      <c r="C55" s="42" t="s">
        <v>215</v>
      </c>
      <c r="D55" s="42" t="s">
        <v>488</v>
      </c>
      <c r="E55" s="50" t="s">
        <v>220</v>
      </c>
      <c r="F55" s="42" t="s">
        <v>490</v>
      </c>
      <c r="G55" s="42" t="s">
        <v>224</v>
      </c>
      <c r="H55" s="42"/>
      <c r="I55" s="50" t="s">
        <v>47</v>
      </c>
      <c r="J55" s="42" t="s">
        <v>226</v>
      </c>
      <c r="K55" s="2"/>
      <c r="L55" s="2"/>
    </row>
    <row r="56" ht="22.5" customHeight="1">
      <c r="A56" s="42" t="s">
        <v>44</v>
      </c>
      <c r="B56" s="42" t="s">
        <v>487</v>
      </c>
      <c r="C56" s="42" t="s">
        <v>215</v>
      </c>
      <c r="D56" s="42" t="s">
        <v>488</v>
      </c>
      <c r="E56" s="50" t="s">
        <v>220</v>
      </c>
      <c r="F56" s="42" t="s">
        <v>493</v>
      </c>
      <c r="G56" s="42" t="s">
        <v>224</v>
      </c>
      <c r="H56" s="42"/>
      <c r="I56" s="50" t="s">
        <v>47</v>
      </c>
      <c r="J56" s="42" t="s">
        <v>226</v>
      </c>
      <c r="K56" s="2"/>
      <c r="L56" s="2"/>
    </row>
    <row r="57" ht="22.5" customHeight="1">
      <c r="A57" s="42" t="s">
        <v>44</v>
      </c>
      <c r="B57" s="42" t="s">
        <v>487</v>
      </c>
      <c r="C57" s="42" t="s">
        <v>215</v>
      </c>
      <c r="D57" s="42" t="s">
        <v>488</v>
      </c>
      <c r="E57" s="50" t="s">
        <v>220</v>
      </c>
      <c r="F57" s="42" t="s">
        <v>495</v>
      </c>
      <c r="G57" s="42" t="s">
        <v>224</v>
      </c>
      <c r="H57" s="42"/>
      <c r="I57" s="50" t="s">
        <v>47</v>
      </c>
      <c r="J57" s="42" t="s">
        <v>226</v>
      </c>
      <c r="K57" s="2"/>
      <c r="L57" s="2"/>
    </row>
    <row r="58" ht="22.5" customHeight="1">
      <c r="A58" s="42" t="s">
        <v>44</v>
      </c>
      <c r="B58" s="42" t="s">
        <v>497</v>
      </c>
      <c r="C58" s="42" t="s">
        <v>215</v>
      </c>
      <c r="D58" s="42" t="s">
        <v>499</v>
      </c>
      <c r="E58" s="50" t="s">
        <v>220</v>
      </c>
      <c r="F58" s="42" t="s">
        <v>500</v>
      </c>
      <c r="G58" s="42">
        <v>12998.0</v>
      </c>
      <c r="H58" s="42"/>
      <c r="I58" s="50" t="s">
        <v>47</v>
      </c>
      <c r="J58" s="42" t="s">
        <v>226</v>
      </c>
      <c r="K58" s="2"/>
      <c r="L58" s="2"/>
    </row>
    <row r="59" ht="22.5" customHeight="1">
      <c r="A59" s="42" t="s">
        <v>44</v>
      </c>
      <c r="B59" s="42" t="s">
        <v>497</v>
      </c>
      <c r="C59" s="42" t="s">
        <v>215</v>
      </c>
      <c r="D59" s="42" t="s">
        <v>499</v>
      </c>
      <c r="E59" s="50" t="s">
        <v>220</v>
      </c>
      <c r="F59" s="42" t="s">
        <v>502</v>
      </c>
      <c r="G59" s="42" t="s">
        <v>224</v>
      </c>
      <c r="H59" s="42"/>
      <c r="I59" s="50" t="s">
        <v>47</v>
      </c>
      <c r="J59" s="42" t="s">
        <v>226</v>
      </c>
      <c r="K59" s="2"/>
      <c r="L59" s="2"/>
    </row>
    <row r="60" ht="22.5" customHeight="1">
      <c r="A60" s="42" t="s">
        <v>44</v>
      </c>
      <c r="B60" s="42" t="s">
        <v>505</v>
      </c>
      <c r="C60" s="42" t="s">
        <v>215</v>
      </c>
      <c r="D60" s="42" t="s">
        <v>506</v>
      </c>
      <c r="E60" s="50" t="s">
        <v>220</v>
      </c>
      <c r="F60" s="42" t="s">
        <v>507</v>
      </c>
      <c r="G60" s="42" t="s">
        <v>224</v>
      </c>
      <c r="H60" s="42"/>
      <c r="I60" s="50" t="s">
        <v>47</v>
      </c>
      <c r="J60" s="42" t="s">
        <v>226</v>
      </c>
      <c r="K60" s="2"/>
      <c r="L60" s="2"/>
    </row>
    <row r="61" ht="22.5" customHeight="1">
      <c r="A61" s="42" t="s">
        <v>44</v>
      </c>
      <c r="B61" s="42" t="s">
        <v>152</v>
      </c>
      <c r="C61" s="42" t="s">
        <v>215</v>
      </c>
      <c r="D61" s="42" t="s">
        <v>510</v>
      </c>
      <c r="E61" s="50" t="s">
        <v>220</v>
      </c>
      <c r="F61" s="42" t="s">
        <v>511</v>
      </c>
      <c r="G61" s="42" t="s">
        <v>224</v>
      </c>
      <c r="H61" s="42"/>
      <c r="I61" s="50" t="s">
        <v>47</v>
      </c>
      <c r="J61" s="42" t="s">
        <v>226</v>
      </c>
      <c r="K61" s="2"/>
      <c r="L61" s="2"/>
    </row>
    <row r="62" ht="22.5" customHeight="1">
      <c r="A62" s="42" t="s">
        <v>44</v>
      </c>
      <c r="B62" s="42" t="s">
        <v>406</v>
      </c>
      <c r="C62" s="42" t="s">
        <v>215</v>
      </c>
      <c r="D62" s="42" t="s">
        <v>412</v>
      </c>
      <c r="E62" s="50" t="s">
        <v>220</v>
      </c>
      <c r="F62" s="42" t="s">
        <v>513</v>
      </c>
      <c r="G62" s="42" t="s">
        <v>224</v>
      </c>
      <c r="H62" s="42"/>
      <c r="I62" s="50" t="s">
        <v>47</v>
      </c>
      <c r="J62" s="42" t="s">
        <v>226</v>
      </c>
      <c r="K62" s="2"/>
      <c r="L62" s="2"/>
    </row>
    <row r="63" ht="22.5" customHeight="1">
      <c r="A63" s="42" t="s">
        <v>44</v>
      </c>
      <c r="B63" s="42" t="s">
        <v>406</v>
      </c>
      <c r="C63" s="42" t="s">
        <v>215</v>
      </c>
      <c r="D63" s="42" t="s">
        <v>412</v>
      </c>
      <c r="E63" s="50" t="s">
        <v>220</v>
      </c>
      <c r="F63" s="42" t="s">
        <v>518</v>
      </c>
      <c r="G63" s="42" t="s">
        <v>224</v>
      </c>
      <c r="H63" s="42"/>
      <c r="I63" s="50" t="s">
        <v>47</v>
      </c>
      <c r="J63" s="42" t="s">
        <v>226</v>
      </c>
      <c r="K63" s="2"/>
      <c r="L63" s="2"/>
    </row>
    <row r="64" ht="22.5" customHeight="1">
      <c r="A64" s="42" t="s">
        <v>44</v>
      </c>
      <c r="B64" s="42" t="s">
        <v>406</v>
      </c>
      <c r="C64" s="42" t="s">
        <v>215</v>
      </c>
      <c r="D64" s="42" t="s">
        <v>412</v>
      </c>
      <c r="E64" s="50" t="s">
        <v>220</v>
      </c>
      <c r="F64" s="42" t="s">
        <v>523</v>
      </c>
      <c r="G64" s="42" t="s">
        <v>224</v>
      </c>
      <c r="H64" s="42"/>
      <c r="I64" s="50" t="s">
        <v>47</v>
      </c>
      <c r="J64" s="42" t="s">
        <v>226</v>
      </c>
      <c r="K64" s="2"/>
      <c r="L64" s="2"/>
    </row>
    <row r="65" ht="22.5" customHeight="1">
      <c r="A65" s="42" t="s">
        <v>44</v>
      </c>
      <c r="B65" s="42" t="s">
        <v>152</v>
      </c>
      <c r="C65" s="42" t="s">
        <v>215</v>
      </c>
      <c r="D65" s="42" t="s">
        <v>154</v>
      </c>
      <c r="E65" s="50" t="s">
        <v>220</v>
      </c>
      <c r="F65" s="42" t="s">
        <v>524</v>
      </c>
      <c r="G65" s="42" t="s">
        <v>224</v>
      </c>
      <c r="H65" s="42"/>
      <c r="I65" s="50" t="s">
        <v>47</v>
      </c>
      <c r="J65" s="42" t="s">
        <v>226</v>
      </c>
      <c r="K65" s="2"/>
      <c r="L65" s="2"/>
    </row>
    <row r="66" ht="22.5" customHeight="1">
      <c r="A66" s="42" t="s">
        <v>44</v>
      </c>
      <c r="B66" s="42" t="s">
        <v>152</v>
      </c>
      <c r="C66" s="42" t="s">
        <v>215</v>
      </c>
      <c r="D66" s="42" t="s">
        <v>154</v>
      </c>
      <c r="E66" s="50" t="s">
        <v>220</v>
      </c>
      <c r="F66" s="42" t="s">
        <v>526</v>
      </c>
      <c r="G66" s="42" t="s">
        <v>224</v>
      </c>
      <c r="H66" s="42"/>
      <c r="I66" s="50" t="s">
        <v>47</v>
      </c>
      <c r="J66" s="42" t="s">
        <v>226</v>
      </c>
      <c r="K66" s="2"/>
      <c r="L66" s="2"/>
    </row>
    <row r="67" ht="22.5" customHeight="1">
      <c r="A67" s="42" t="s">
        <v>44</v>
      </c>
      <c r="B67" s="42" t="s">
        <v>152</v>
      </c>
      <c r="C67" s="42" t="s">
        <v>215</v>
      </c>
      <c r="D67" s="42" t="s">
        <v>154</v>
      </c>
      <c r="E67" s="50" t="s">
        <v>220</v>
      </c>
      <c r="F67" s="42" t="s">
        <v>529</v>
      </c>
      <c r="G67" s="42" t="s">
        <v>224</v>
      </c>
      <c r="H67" s="42"/>
      <c r="I67" s="50" t="s">
        <v>47</v>
      </c>
      <c r="J67" s="42" t="s">
        <v>226</v>
      </c>
      <c r="K67" s="2"/>
      <c r="L67" s="2"/>
    </row>
    <row r="68" ht="22.5" customHeight="1">
      <c r="A68" s="42" t="s">
        <v>44</v>
      </c>
      <c r="B68" s="42" t="s">
        <v>534</v>
      </c>
      <c r="C68" s="42" t="s">
        <v>215</v>
      </c>
      <c r="D68" s="42" t="s">
        <v>480</v>
      </c>
      <c r="E68" s="50" t="s">
        <v>220</v>
      </c>
      <c r="F68" s="42" t="s">
        <v>536</v>
      </c>
      <c r="G68" s="42" t="s">
        <v>224</v>
      </c>
      <c r="H68" s="42"/>
      <c r="I68" s="50" t="s">
        <v>47</v>
      </c>
      <c r="J68" s="42" t="s">
        <v>226</v>
      </c>
      <c r="K68" s="2"/>
      <c r="L68" s="2"/>
    </row>
    <row r="69" ht="22.5" customHeight="1">
      <c r="A69" s="42" t="s">
        <v>44</v>
      </c>
      <c r="B69" s="42" t="s">
        <v>534</v>
      </c>
      <c r="C69" s="42" t="s">
        <v>215</v>
      </c>
      <c r="D69" s="42" t="s">
        <v>480</v>
      </c>
      <c r="E69" s="50" t="s">
        <v>220</v>
      </c>
      <c r="F69" s="42" t="s">
        <v>540</v>
      </c>
      <c r="G69" s="42" t="s">
        <v>224</v>
      </c>
      <c r="H69" s="42"/>
      <c r="I69" s="50" t="s">
        <v>47</v>
      </c>
      <c r="J69" s="42" t="s">
        <v>226</v>
      </c>
      <c r="K69" s="2"/>
      <c r="L69" s="2"/>
    </row>
    <row r="70" ht="22.5" customHeight="1">
      <c r="A70" s="42" t="s">
        <v>44</v>
      </c>
      <c r="B70" s="42" t="s">
        <v>534</v>
      </c>
      <c r="C70" s="42" t="s">
        <v>215</v>
      </c>
      <c r="D70" s="42" t="s">
        <v>480</v>
      </c>
      <c r="E70" s="50" t="s">
        <v>220</v>
      </c>
      <c r="F70" s="42" t="s">
        <v>546</v>
      </c>
      <c r="G70" s="42">
        <v>38487.0</v>
      </c>
      <c r="H70" s="42"/>
      <c r="I70" s="50" t="s">
        <v>159</v>
      </c>
      <c r="J70" s="42" t="s">
        <v>226</v>
      </c>
      <c r="K70" s="2"/>
      <c r="L70" s="2"/>
    </row>
    <row r="71" ht="22.5" customHeight="1">
      <c r="A71" s="42" t="s">
        <v>44</v>
      </c>
      <c r="B71" s="42" t="s">
        <v>512</v>
      </c>
      <c r="C71" s="42" t="s">
        <v>215</v>
      </c>
      <c r="D71" s="42" t="s">
        <v>515</v>
      </c>
      <c r="E71" s="50" t="s">
        <v>220</v>
      </c>
      <c r="F71" s="42" t="s">
        <v>553</v>
      </c>
      <c r="G71" s="42">
        <v>38488.0</v>
      </c>
      <c r="H71" s="42"/>
      <c r="I71" s="50" t="s">
        <v>47</v>
      </c>
      <c r="J71" s="42" t="s">
        <v>226</v>
      </c>
      <c r="K71" s="2"/>
      <c r="L71" s="2"/>
    </row>
    <row r="72" ht="22.5" customHeight="1">
      <c r="A72" s="42" t="s">
        <v>44</v>
      </c>
      <c r="B72" s="42" t="s">
        <v>491</v>
      </c>
      <c r="C72" s="42" t="s">
        <v>215</v>
      </c>
      <c r="D72" s="42" t="s">
        <v>492</v>
      </c>
      <c r="E72" s="50" t="s">
        <v>220</v>
      </c>
      <c r="F72" s="42" t="s">
        <v>557</v>
      </c>
      <c r="G72" s="42">
        <v>38489.0</v>
      </c>
      <c r="H72" s="42"/>
      <c r="I72" s="50" t="s">
        <v>47</v>
      </c>
      <c r="J72" s="42" t="s">
        <v>226</v>
      </c>
      <c r="K72" s="2"/>
      <c r="L72" s="2"/>
    </row>
    <row r="73" ht="22.5" customHeight="1">
      <c r="A73" s="42" t="s">
        <v>44</v>
      </c>
      <c r="B73" s="42" t="s">
        <v>333</v>
      </c>
      <c r="C73" s="42" t="s">
        <v>215</v>
      </c>
      <c r="D73" s="42" t="s">
        <v>336</v>
      </c>
      <c r="E73" s="50" t="s">
        <v>220</v>
      </c>
      <c r="F73" s="42" t="s">
        <v>565</v>
      </c>
      <c r="G73" s="42">
        <v>38571.0</v>
      </c>
      <c r="H73" s="42"/>
      <c r="I73" s="50" t="s">
        <v>47</v>
      </c>
      <c r="J73" s="42" t="s">
        <v>226</v>
      </c>
      <c r="K73" s="2"/>
      <c r="L73" s="2"/>
    </row>
    <row r="74" ht="22.5" customHeight="1">
      <c r="A74" s="42" t="s">
        <v>44</v>
      </c>
      <c r="B74" s="42" t="s">
        <v>333</v>
      </c>
      <c r="C74" s="42" t="s">
        <v>215</v>
      </c>
      <c r="D74" s="42" t="s">
        <v>336</v>
      </c>
      <c r="E74" s="50" t="s">
        <v>220</v>
      </c>
      <c r="F74" s="42" t="s">
        <v>570</v>
      </c>
      <c r="G74" s="42">
        <v>38569.0</v>
      </c>
      <c r="H74" s="42"/>
      <c r="I74" s="50" t="s">
        <v>47</v>
      </c>
      <c r="J74" s="42" t="s">
        <v>226</v>
      </c>
      <c r="K74" s="2"/>
      <c r="L74" s="2"/>
    </row>
    <row r="75" ht="22.5" customHeight="1">
      <c r="A75" s="42" t="s">
        <v>44</v>
      </c>
      <c r="B75" s="42" t="s">
        <v>199</v>
      </c>
      <c r="C75" s="42" t="s">
        <v>215</v>
      </c>
      <c r="D75" s="42" t="s">
        <v>201</v>
      </c>
      <c r="E75" s="50" t="s">
        <v>220</v>
      </c>
      <c r="F75" s="42" t="s">
        <v>574</v>
      </c>
      <c r="G75" s="42">
        <v>38570.0</v>
      </c>
      <c r="H75" s="42"/>
      <c r="I75" s="50" t="s">
        <v>47</v>
      </c>
      <c r="J75" s="42" t="s">
        <v>226</v>
      </c>
      <c r="K75" s="2"/>
      <c r="L75" s="2"/>
    </row>
    <row r="76" ht="22.5" customHeight="1">
      <c r="A76" s="42" t="s">
        <v>44</v>
      </c>
      <c r="B76" s="42" t="s">
        <v>448</v>
      </c>
      <c r="C76" s="42" t="s">
        <v>215</v>
      </c>
      <c r="D76" s="42" t="s">
        <v>451</v>
      </c>
      <c r="E76" s="50" t="s">
        <v>220</v>
      </c>
      <c r="F76" s="42" t="s">
        <v>580</v>
      </c>
      <c r="G76" s="42">
        <v>38574.0</v>
      </c>
      <c r="H76" s="42"/>
      <c r="I76" s="50" t="s">
        <v>47</v>
      </c>
      <c r="J76" s="42" t="s">
        <v>226</v>
      </c>
      <c r="K76" s="2"/>
      <c r="L76" s="2"/>
    </row>
    <row r="77" ht="22.5" customHeight="1">
      <c r="A77" s="42" t="s">
        <v>44</v>
      </c>
      <c r="B77" s="42" t="s">
        <v>582</v>
      </c>
      <c r="C77" s="42" t="s">
        <v>215</v>
      </c>
      <c r="D77" s="42" t="s">
        <v>584</v>
      </c>
      <c r="E77" s="50" t="s">
        <v>220</v>
      </c>
      <c r="F77" s="42" t="s">
        <v>588</v>
      </c>
      <c r="G77" s="42">
        <v>38573.0</v>
      </c>
      <c r="H77" s="42"/>
      <c r="I77" s="50" t="s">
        <v>47</v>
      </c>
      <c r="J77" s="42" t="s">
        <v>226</v>
      </c>
      <c r="K77" s="2"/>
      <c r="L77" s="2"/>
    </row>
    <row r="78" ht="22.5" customHeight="1">
      <c r="A78" s="42" t="s">
        <v>44</v>
      </c>
      <c r="B78" s="42" t="s">
        <v>291</v>
      </c>
      <c r="C78" s="42" t="s">
        <v>215</v>
      </c>
      <c r="D78" s="42" t="s">
        <v>297</v>
      </c>
      <c r="E78" s="50" t="s">
        <v>220</v>
      </c>
      <c r="F78" s="42" t="s">
        <v>592</v>
      </c>
      <c r="G78" s="42">
        <v>38482.0</v>
      </c>
      <c r="H78" s="42"/>
      <c r="I78" s="50" t="s">
        <v>47</v>
      </c>
      <c r="J78" s="42" t="s">
        <v>226</v>
      </c>
      <c r="K78" s="2"/>
      <c r="L78" s="2"/>
    </row>
    <row r="79" ht="22.5" customHeight="1">
      <c r="A79" s="42" t="s">
        <v>44</v>
      </c>
      <c r="B79" s="42" t="s">
        <v>291</v>
      </c>
      <c r="C79" s="42" t="s">
        <v>215</v>
      </c>
      <c r="D79" s="42" t="s">
        <v>297</v>
      </c>
      <c r="E79" s="50" t="s">
        <v>220</v>
      </c>
      <c r="F79" s="42" t="s">
        <v>597</v>
      </c>
      <c r="G79" s="42">
        <v>38497.0</v>
      </c>
      <c r="H79" s="42"/>
      <c r="I79" s="50" t="s">
        <v>47</v>
      </c>
      <c r="J79" s="42" t="s">
        <v>226</v>
      </c>
      <c r="K79" s="2"/>
      <c r="L79" s="2"/>
    </row>
    <row r="80" ht="22.5" customHeight="1">
      <c r="A80" s="42" t="s">
        <v>44</v>
      </c>
      <c r="B80" s="42" t="s">
        <v>96</v>
      </c>
      <c r="C80" s="42" t="s">
        <v>215</v>
      </c>
      <c r="D80" s="42" t="s">
        <v>107</v>
      </c>
      <c r="E80" s="50" t="s">
        <v>220</v>
      </c>
      <c r="F80" s="42" t="s">
        <v>601</v>
      </c>
      <c r="G80" s="133">
        <v>4401.0</v>
      </c>
      <c r="H80" s="133"/>
      <c r="I80" s="134" t="s">
        <v>47</v>
      </c>
      <c r="J80" s="42" t="s">
        <v>226</v>
      </c>
      <c r="K80" s="2"/>
      <c r="L80" s="2"/>
    </row>
    <row r="81" ht="22.5" customHeight="1">
      <c r="A81" s="42" t="s">
        <v>44</v>
      </c>
      <c r="B81" s="42" t="s">
        <v>96</v>
      </c>
      <c r="C81" s="42" t="s">
        <v>215</v>
      </c>
      <c r="D81" s="42" t="s">
        <v>607</v>
      </c>
      <c r="E81" s="50" t="s">
        <v>220</v>
      </c>
      <c r="F81" s="42" t="s">
        <v>608</v>
      </c>
      <c r="G81" s="77">
        <v>38468.0</v>
      </c>
      <c r="H81" s="77"/>
      <c r="I81" s="50" t="s">
        <v>47</v>
      </c>
      <c r="J81" s="42" t="s">
        <v>226</v>
      </c>
      <c r="K81" s="2"/>
      <c r="L81" s="2"/>
    </row>
    <row r="82" ht="22.5" customHeight="1">
      <c r="A82" s="42" t="s">
        <v>44</v>
      </c>
      <c r="B82" s="42" t="s">
        <v>96</v>
      </c>
      <c r="C82" s="42" t="s">
        <v>215</v>
      </c>
      <c r="D82" s="42" t="s">
        <v>98</v>
      </c>
      <c r="E82" s="50" t="s">
        <v>220</v>
      </c>
      <c r="F82" s="42" t="s">
        <v>612</v>
      </c>
      <c r="G82" s="42">
        <v>4419.0</v>
      </c>
      <c r="H82" s="42"/>
      <c r="I82" s="50" t="s">
        <v>47</v>
      </c>
      <c r="J82" s="42" t="s">
        <v>226</v>
      </c>
      <c r="K82" s="2"/>
      <c r="L82" s="2"/>
    </row>
    <row r="83" ht="22.5" customHeight="1">
      <c r="A83" s="42" t="s">
        <v>44</v>
      </c>
      <c r="B83" s="42" t="s">
        <v>96</v>
      </c>
      <c r="C83" s="42" t="s">
        <v>215</v>
      </c>
      <c r="D83" s="42" t="s">
        <v>98</v>
      </c>
      <c r="E83" s="50" t="s">
        <v>220</v>
      </c>
      <c r="F83" s="42" t="s">
        <v>620</v>
      </c>
      <c r="G83" s="42">
        <v>4428.0</v>
      </c>
      <c r="H83" s="42"/>
      <c r="I83" s="50" t="s">
        <v>47</v>
      </c>
      <c r="J83" s="42" t="s">
        <v>226</v>
      </c>
      <c r="K83" s="2"/>
      <c r="L83" s="2"/>
    </row>
    <row r="84" ht="22.5" customHeight="1">
      <c r="A84" s="42" t="s">
        <v>44</v>
      </c>
      <c r="B84" s="42" t="s">
        <v>420</v>
      </c>
      <c r="C84" s="42" t="s">
        <v>215</v>
      </c>
      <c r="D84" s="42" t="s">
        <v>422</v>
      </c>
      <c r="E84" s="50" t="s">
        <v>220</v>
      </c>
      <c r="F84" s="42" t="s">
        <v>625</v>
      </c>
      <c r="G84" s="42">
        <v>38455.0</v>
      </c>
      <c r="H84" s="42"/>
      <c r="I84" s="50" t="s">
        <v>47</v>
      </c>
      <c r="J84" s="42" t="s">
        <v>226</v>
      </c>
      <c r="K84" s="2"/>
      <c r="L84" s="2"/>
    </row>
    <row r="85" ht="22.5" customHeight="1">
      <c r="A85" s="42" t="s">
        <v>44</v>
      </c>
      <c r="B85" s="42" t="s">
        <v>420</v>
      </c>
      <c r="C85" s="42" t="s">
        <v>215</v>
      </c>
      <c r="D85" s="42" t="s">
        <v>422</v>
      </c>
      <c r="E85" s="50" t="s">
        <v>220</v>
      </c>
      <c r="F85" s="42" t="s">
        <v>629</v>
      </c>
      <c r="G85" s="42">
        <v>38473.0</v>
      </c>
      <c r="H85" s="42"/>
      <c r="I85" s="50" t="s">
        <v>47</v>
      </c>
      <c r="J85" s="42" t="s">
        <v>226</v>
      </c>
      <c r="K85" s="2"/>
      <c r="L85" s="2"/>
    </row>
    <row r="86" ht="22.5" customHeight="1">
      <c r="A86" s="42" t="s">
        <v>44</v>
      </c>
      <c r="B86" s="42" t="s">
        <v>120</v>
      </c>
      <c r="C86" s="42" t="s">
        <v>215</v>
      </c>
      <c r="D86" s="42" t="s">
        <v>124</v>
      </c>
      <c r="E86" s="50" t="s">
        <v>632</v>
      </c>
      <c r="F86" s="42" t="s">
        <v>635</v>
      </c>
      <c r="G86" s="42" t="s">
        <v>224</v>
      </c>
      <c r="H86" s="42"/>
      <c r="I86" s="50" t="s">
        <v>47</v>
      </c>
      <c r="J86" s="42" t="s">
        <v>226</v>
      </c>
      <c r="K86" s="2"/>
      <c r="L86" s="2"/>
    </row>
    <row r="87" ht="22.5" customHeight="1">
      <c r="A87" s="42" t="s">
        <v>44</v>
      </c>
      <c r="B87" s="42" t="s">
        <v>120</v>
      </c>
      <c r="C87" s="42" t="s">
        <v>215</v>
      </c>
      <c r="D87" s="42" t="s">
        <v>124</v>
      </c>
      <c r="E87" s="50" t="s">
        <v>220</v>
      </c>
      <c r="F87" s="42" t="s">
        <v>644</v>
      </c>
      <c r="G87" s="42">
        <v>38478.0</v>
      </c>
      <c r="H87" s="42"/>
      <c r="I87" s="50" t="s">
        <v>47</v>
      </c>
      <c r="J87" s="42" t="s">
        <v>226</v>
      </c>
      <c r="K87" s="2"/>
      <c r="L87" s="2"/>
    </row>
    <row r="88" ht="22.5" customHeight="1">
      <c r="A88" s="42" t="s">
        <v>44</v>
      </c>
      <c r="B88" s="42" t="s">
        <v>120</v>
      </c>
      <c r="C88" s="42" t="s">
        <v>215</v>
      </c>
      <c r="D88" s="42" t="s">
        <v>124</v>
      </c>
      <c r="E88" s="50" t="s">
        <v>220</v>
      </c>
      <c r="F88" s="42" t="s">
        <v>646</v>
      </c>
      <c r="G88" s="42" t="s">
        <v>224</v>
      </c>
      <c r="H88" s="42"/>
      <c r="I88" s="50" t="s">
        <v>47</v>
      </c>
      <c r="J88" s="42" t="s">
        <v>226</v>
      </c>
      <c r="K88" s="2"/>
      <c r="L88" s="2"/>
    </row>
    <row r="89" ht="22.5" customHeight="1">
      <c r="A89" s="42" t="s">
        <v>44</v>
      </c>
      <c r="B89" s="42" t="s">
        <v>120</v>
      </c>
      <c r="C89" s="42" t="s">
        <v>215</v>
      </c>
      <c r="D89" s="42" t="s">
        <v>124</v>
      </c>
      <c r="E89" s="50" t="s">
        <v>220</v>
      </c>
      <c r="F89" s="42" t="s">
        <v>651</v>
      </c>
      <c r="G89" s="42" t="s">
        <v>224</v>
      </c>
      <c r="H89" s="42"/>
      <c r="I89" s="50" t="s">
        <v>47</v>
      </c>
      <c r="J89" s="42" t="s">
        <v>226</v>
      </c>
      <c r="K89" s="2"/>
      <c r="L89" s="2"/>
    </row>
    <row r="90" ht="22.5" customHeight="1">
      <c r="A90" s="42" t="s">
        <v>44</v>
      </c>
      <c r="B90" s="42" t="s">
        <v>120</v>
      </c>
      <c r="C90" s="42" t="s">
        <v>215</v>
      </c>
      <c r="D90" s="42" t="s">
        <v>547</v>
      </c>
      <c r="E90" s="50" t="s">
        <v>220</v>
      </c>
      <c r="F90" s="42" t="s">
        <v>653</v>
      </c>
      <c r="G90" s="42" t="s">
        <v>224</v>
      </c>
      <c r="H90" s="42"/>
      <c r="I90" s="50" t="s">
        <v>47</v>
      </c>
      <c r="J90" s="42" t="s">
        <v>226</v>
      </c>
      <c r="K90" s="2"/>
      <c r="L90" s="2"/>
    </row>
    <row r="91" ht="22.5" customHeight="1">
      <c r="A91" s="42" t="s">
        <v>44</v>
      </c>
      <c r="B91" s="42" t="s">
        <v>120</v>
      </c>
      <c r="C91" s="42" t="s">
        <v>215</v>
      </c>
      <c r="D91" s="42" t="s">
        <v>547</v>
      </c>
      <c r="E91" s="50" t="s">
        <v>220</v>
      </c>
      <c r="F91" s="42" t="s">
        <v>657</v>
      </c>
      <c r="G91" s="42" t="s">
        <v>224</v>
      </c>
      <c r="H91" s="42"/>
      <c r="I91" s="50" t="s">
        <v>159</v>
      </c>
      <c r="J91" s="42" t="s">
        <v>226</v>
      </c>
      <c r="K91" s="2"/>
      <c r="L91" s="2"/>
    </row>
    <row r="92" ht="22.5" customHeight="1">
      <c r="A92" s="42" t="s">
        <v>44</v>
      </c>
      <c r="B92" s="42" t="s">
        <v>120</v>
      </c>
      <c r="C92" s="42" t="s">
        <v>215</v>
      </c>
      <c r="D92" s="42" t="s">
        <v>140</v>
      </c>
      <c r="E92" s="50" t="s">
        <v>294</v>
      </c>
      <c r="F92" s="42">
        <v>18840.0</v>
      </c>
      <c r="G92" s="42">
        <v>38466.0</v>
      </c>
      <c r="H92" s="42"/>
      <c r="I92" s="50" t="s">
        <v>47</v>
      </c>
      <c r="J92" s="42" t="s">
        <v>226</v>
      </c>
      <c r="K92" s="2"/>
      <c r="L92" s="2"/>
    </row>
    <row r="93" ht="22.5" customHeight="1">
      <c r="A93" s="42" t="s">
        <v>44</v>
      </c>
      <c r="B93" s="42" t="s">
        <v>120</v>
      </c>
      <c r="C93" s="42" t="s">
        <v>215</v>
      </c>
      <c r="D93" s="42" t="s">
        <v>140</v>
      </c>
      <c r="E93" s="50" t="s">
        <v>294</v>
      </c>
      <c r="F93" s="42">
        <v>18918.0</v>
      </c>
      <c r="G93" s="42">
        <v>38464.0</v>
      </c>
      <c r="H93" s="42"/>
      <c r="I93" s="50" t="s">
        <v>47</v>
      </c>
      <c r="J93" s="42" t="s">
        <v>226</v>
      </c>
      <c r="K93" s="2"/>
      <c r="L93" s="2"/>
    </row>
    <row r="94" ht="22.5" customHeight="1">
      <c r="A94" s="42" t="s">
        <v>44</v>
      </c>
      <c r="B94" s="42" t="s">
        <v>120</v>
      </c>
      <c r="C94" s="42" t="s">
        <v>215</v>
      </c>
      <c r="D94" s="42" t="s">
        <v>140</v>
      </c>
      <c r="E94" s="50" t="s">
        <v>294</v>
      </c>
      <c r="F94" s="42">
        <v>19802.0</v>
      </c>
      <c r="G94" s="42">
        <v>38479.0</v>
      </c>
      <c r="H94" s="42"/>
      <c r="I94" s="50" t="s">
        <v>47</v>
      </c>
      <c r="J94" s="42" t="s">
        <v>226</v>
      </c>
      <c r="K94" s="2"/>
      <c r="L94" s="2"/>
    </row>
    <row r="95" ht="22.5" customHeight="1">
      <c r="A95" s="42" t="s">
        <v>44</v>
      </c>
      <c r="B95" s="42" t="s">
        <v>120</v>
      </c>
      <c r="C95" s="42" t="s">
        <v>215</v>
      </c>
      <c r="D95" s="42" t="s">
        <v>140</v>
      </c>
      <c r="E95" s="50" t="s">
        <v>294</v>
      </c>
      <c r="F95" s="42">
        <v>19797.0</v>
      </c>
      <c r="G95" s="42">
        <v>38463.0</v>
      </c>
      <c r="H95" s="42" t="s">
        <v>679</v>
      </c>
      <c r="I95" s="50" t="s">
        <v>159</v>
      </c>
      <c r="J95" s="42" t="s">
        <v>226</v>
      </c>
      <c r="K95" s="2"/>
      <c r="L95" s="2"/>
    </row>
    <row r="96" ht="22.5" customHeight="1">
      <c r="A96" s="42" t="s">
        <v>44</v>
      </c>
      <c r="B96" s="42" t="s">
        <v>348</v>
      </c>
      <c r="C96" s="42" t="s">
        <v>215</v>
      </c>
      <c r="D96" s="42" t="s">
        <v>349</v>
      </c>
      <c r="E96" s="50" t="s">
        <v>632</v>
      </c>
      <c r="F96" s="42" t="s">
        <v>682</v>
      </c>
      <c r="G96" s="42">
        <v>38465.0</v>
      </c>
      <c r="H96" s="42"/>
      <c r="I96" s="50" t="s">
        <v>47</v>
      </c>
      <c r="J96" s="42" t="s">
        <v>226</v>
      </c>
      <c r="K96" s="2"/>
      <c r="L96" s="2"/>
    </row>
    <row r="97" ht="22.5" customHeight="1">
      <c r="A97" s="42" t="s">
        <v>44</v>
      </c>
      <c r="B97" s="42" t="s">
        <v>348</v>
      </c>
      <c r="C97" s="42" t="s">
        <v>215</v>
      </c>
      <c r="D97" s="42" t="s">
        <v>349</v>
      </c>
      <c r="E97" s="50" t="s">
        <v>220</v>
      </c>
      <c r="F97" s="42" t="s">
        <v>689</v>
      </c>
      <c r="G97" s="42">
        <v>38474.0</v>
      </c>
      <c r="H97" s="42"/>
      <c r="I97" s="50" t="s">
        <v>47</v>
      </c>
      <c r="J97" s="42" t="s">
        <v>226</v>
      </c>
      <c r="K97" s="2"/>
      <c r="L97" s="2"/>
    </row>
    <row r="98" ht="22.5" customHeight="1">
      <c r="A98" s="42" t="s">
        <v>44</v>
      </c>
      <c r="B98" s="42" t="s">
        <v>348</v>
      </c>
      <c r="C98" s="42" t="s">
        <v>215</v>
      </c>
      <c r="D98" s="42" t="s">
        <v>349</v>
      </c>
      <c r="E98" s="50" t="s">
        <v>632</v>
      </c>
      <c r="F98" s="42" t="s">
        <v>692</v>
      </c>
      <c r="G98" s="42">
        <v>38490.0</v>
      </c>
      <c r="H98" s="42"/>
      <c r="I98" s="50" t="s">
        <v>47</v>
      </c>
      <c r="J98" s="42" t="s">
        <v>226</v>
      </c>
      <c r="K98" s="2"/>
      <c r="L98" s="2"/>
    </row>
    <row r="99" ht="22.5" customHeight="1">
      <c r="A99" s="42" t="s">
        <v>44</v>
      </c>
      <c r="B99" s="42" t="s">
        <v>530</v>
      </c>
      <c r="C99" s="42" t="s">
        <v>215</v>
      </c>
      <c r="D99" s="42" t="s">
        <v>531</v>
      </c>
      <c r="E99" s="50" t="s">
        <v>220</v>
      </c>
      <c r="F99" s="42" t="s">
        <v>694</v>
      </c>
      <c r="G99" s="42">
        <v>38583.0</v>
      </c>
      <c r="H99" s="42"/>
      <c r="I99" s="50" t="s">
        <v>47</v>
      </c>
      <c r="J99" s="42" t="s">
        <v>226</v>
      </c>
      <c r="K99" s="2"/>
      <c r="L99" s="2"/>
    </row>
    <row r="100" ht="22.5" customHeight="1">
      <c r="A100" s="42" t="s">
        <v>44</v>
      </c>
      <c r="B100" s="42" t="s">
        <v>395</v>
      </c>
      <c r="C100" s="42" t="s">
        <v>215</v>
      </c>
      <c r="D100" s="42" t="s">
        <v>398</v>
      </c>
      <c r="E100" s="50" t="s">
        <v>220</v>
      </c>
      <c r="F100" s="42" t="s">
        <v>698</v>
      </c>
      <c r="G100" s="42">
        <v>38493.0</v>
      </c>
      <c r="H100" s="42"/>
      <c r="I100" s="50" t="s">
        <v>47</v>
      </c>
      <c r="J100" s="42" t="s">
        <v>226</v>
      </c>
      <c r="K100" s="2"/>
      <c r="L100" s="2"/>
    </row>
    <row r="101" ht="22.5" customHeight="1">
      <c r="A101" s="42" t="s">
        <v>44</v>
      </c>
      <c r="B101" s="42" t="s">
        <v>395</v>
      </c>
      <c r="C101" s="42" t="s">
        <v>215</v>
      </c>
      <c r="D101" s="42" t="s">
        <v>398</v>
      </c>
      <c r="E101" s="50" t="s">
        <v>220</v>
      </c>
      <c r="F101" s="42">
        <v>35810.0</v>
      </c>
      <c r="G101" s="42">
        <v>38577.0</v>
      </c>
      <c r="H101" s="42"/>
      <c r="I101" s="50" t="s">
        <v>47</v>
      </c>
      <c r="J101" s="42" t="s">
        <v>226</v>
      </c>
      <c r="K101" s="2"/>
      <c r="L101" s="2"/>
    </row>
    <row r="102" ht="22.5" customHeight="1">
      <c r="A102" s="42" t="s">
        <v>44</v>
      </c>
      <c r="B102" s="42" t="s">
        <v>621</v>
      </c>
      <c r="C102" s="42" t="s">
        <v>215</v>
      </c>
      <c r="D102" s="42" t="s">
        <v>702</v>
      </c>
      <c r="E102" s="50" t="s">
        <v>220</v>
      </c>
      <c r="F102" s="42" t="s">
        <v>703</v>
      </c>
      <c r="G102" s="42">
        <v>38579.0</v>
      </c>
      <c r="H102" s="42"/>
      <c r="I102" s="50" t="s">
        <v>47</v>
      </c>
      <c r="J102" s="42" t="s">
        <v>226</v>
      </c>
      <c r="K102" s="2"/>
      <c r="L102" s="2"/>
    </row>
    <row r="103" ht="22.5" customHeight="1">
      <c r="A103" s="42" t="s">
        <v>44</v>
      </c>
      <c r="B103" s="42" t="s">
        <v>621</v>
      </c>
      <c r="C103" s="42" t="s">
        <v>215</v>
      </c>
      <c r="D103" s="42" t="s">
        <v>702</v>
      </c>
      <c r="E103" s="50" t="s">
        <v>220</v>
      </c>
      <c r="F103" s="42" t="s">
        <v>706</v>
      </c>
      <c r="G103" s="42" t="s">
        <v>224</v>
      </c>
      <c r="H103" s="42"/>
      <c r="I103" s="50" t="s">
        <v>47</v>
      </c>
      <c r="J103" s="42" t="s">
        <v>226</v>
      </c>
      <c r="K103" s="2"/>
      <c r="L103" s="2"/>
    </row>
    <row r="104" ht="22.5" customHeight="1">
      <c r="A104" s="42" t="s">
        <v>44</v>
      </c>
      <c r="B104" s="42" t="s">
        <v>621</v>
      </c>
      <c r="C104" s="42" t="s">
        <v>215</v>
      </c>
      <c r="D104" s="42" t="s">
        <v>702</v>
      </c>
      <c r="E104" s="50" t="s">
        <v>220</v>
      </c>
      <c r="F104" s="42">
        <v>39611.0</v>
      </c>
      <c r="G104" s="42" t="s">
        <v>224</v>
      </c>
      <c r="H104" s="42"/>
      <c r="I104" s="50" t="s">
        <v>47</v>
      </c>
      <c r="J104" s="42" t="s">
        <v>226</v>
      </c>
      <c r="K104" s="2"/>
      <c r="L104" s="2"/>
    </row>
    <row r="105" ht="22.5" customHeight="1">
      <c r="A105" s="42" t="s">
        <v>44</v>
      </c>
      <c r="B105" s="42" t="s">
        <v>621</v>
      </c>
      <c r="C105" s="42" t="s">
        <v>215</v>
      </c>
      <c r="D105" s="42" t="s">
        <v>702</v>
      </c>
      <c r="E105" s="50" t="s">
        <v>220</v>
      </c>
      <c r="F105" s="42" t="s">
        <v>712</v>
      </c>
      <c r="G105" s="42" t="s">
        <v>224</v>
      </c>
      <c r="H105" s="42"/>
      <c r="I105" s="50" t="s">
        <v>47</v>
      </c>
      <c r="J105" s="42" t="s">
        <v>226</v>
      </c>
      <c r="K105" s="2"/>
      <c r="L105" s="2"/>
    </row>
    <row r="106" ht="22.5" customHeight="1">
      <c r="A106" s="42" t="s">
        <v>44</v>
      </c>
      <c r="B106" s="42" t="s">
        <v>381</v>
      </c>
      <c r="C106" s="42" t="s">
        <v>215</v>
      </c>
      <c r="D106" s="42" t="s">
        <v>383</v>
      </c>
      <c r="E106" s="50" t="s">
        <v>220</v>
      </c>
      <c r="F106" s="42">
        <v>34320.0</v>
      </c>
      <c r="G106" s="42" t="s">
        <v>224</v>
      </c>
      <c r="H106" s="42"/>
      <c r="I106" s="50" t="s">
        <v>47</v>
      </c>
      <c r="J106" s="42" t="s">
        <v>226</v>
      </c>
      <c r="K106" s="2"/>
      <c r="L106" s="2"/>
    </row>
    <row r="107" ht="22.5" customHeight="1">
      <c r="A107" s="42" t="s">
        <v>44</v>
      </c>
      <c r="B107" s="42" t="s">
        <v>381</v>
      </c>
      <c r="C107" s="42" t="s">
        <v>215</v>
      </c>
      <c r="D107" s="42" t="s">
        <v>383</v>
      </c>
      <c r="E107" s="50" t="s">
        <v>220</v>
      </c>
      <c r="F107" s="42" t="s">
        <v>715</v>
      </c>
      <c r="G107" s="42">
        <v>38486.0</v>
      </c>
      <c r="H107" s="42"/>
      <c r="I107" s="50" t="s">
        <v>47</v>
      </c>
      <c r="J107" s="42" t="s">
        <v>226</v>
      </c>
      <c r="K107" s="2"/>
      <c r="L107" s="2"/>
    </row>
    <row r="108" ht="22.5" customHeight="1">
      <c r="A108" s="42" t="s">
        <v>44</v>
      </c>
      <c r="B108" s="42" t="s">
        <v>501</v>
      </c>
      <c r="C108" s="42" t="s">
        <v>215</v>
      </c>
      <c r="D108" s="42" t="s">
        <v>503</v>
      </c>
      <c r="E108" s="50" t="s">
        <v>220</v>
      </c>
      <c r="F108" s="42" t="s">
        <v>718</v>
      </c>
      <c r="G108" s="42">
        <v>38581.0</v>
      </c>
      <c r="H108" s="42"/>
      <c r="I108" s="50" t="s">
        <v>47</v>
      </c>
      <c r="J108" s="42" t="s">
        <v>226</v>
      </c>
      <c r="K108" s="2"/>
      <c r="L108" s="2"/>
    </row>
    <row r="109" ht="22.5" customHeight="1">
      <c r="A109" s="42" t="s">
        <v>44</v>
      </c>
      <c r="B109" s="42" t="s">
        <v>501</v>
      </c>
      <c r="C109" s="42" t="s">
        <v>215</v>
      </c>
      <c r="D109" s="42" t="s">
        <v>503</v>
      </c>
      <c r="E109" s="50" t="s">
        <v>220</v>
      </c>
      <c r="F109" s="42" t="s">
        <v>720</v>
      </c>
      <c r="G109" s="42">
        <v>15811.0</v>
      </c>
      <c r="H109" s="42"/>
      <c r="I109" s="50" t="s">
        <v>47</v>
      </c>
      <c r="J109" s="42" t="s">
        <v>226</v>
      </c>
      <c r="K109" s="2"/>
      <c r="L109" s="2"/>
    </row>
    <row r="110" ht="22.5" customHeight="1">
      <c r="A110" s="42" t="s">
        <v>44</v>
      </c>
      <c r="B110" s="42" t="s">
        <v>361</v>
      </c>
      <c r="C110" s="42" t="s">
        <v>215</v>
      </c>
      <c r="D110" s="42" t="s">
        <v>363</v>
      </c>
      <c r="E110" s="50" t="s">
        <v>632</v>
      </c>
      <c r="F110" s="42" t="s">
        <v>725</v>
      </c>
      <c r="G110" s="42">
        <v>38462.0</v>
      </c>
      <c r="H110" s="42"/>
      <c r="I110" s="50" t="s">
        <v>47</v>
      </c>
      <c r="J110" s="42" t="s">
        <v>226</v>
      </c>
      <c r="K110" s="2"/>
      <c r="L110" s="2"/>
    </row>
    <row r="111" ht="22.5" customHeight="1">
      <c r="A111" s="42" t="s">
        <v>44</v>
      </c>
      <c r="B111" s="42" t="s">
        <v>361</v>
      </c>
      <c r="C111" s="42" t="s">
        <v>215</v>
      </c>
      <c r="D111" s="42" t="s">
        <v>363</v>
      </c>
      <c r="E111" s="50" t="s">
        <v>220</v>
      </c>
      <c r="F111" s="42" t="s">
        <v>726</v>
      </c>
      <c r="G111" s="42">
        <v>17045.0</v>
      </c>
      <c r="H111" s="42"/>
      <c r="I111" s="50" t="s">
        <v>47</v>
      </c>
      <c r="J111" s="42" t="s">
        <v>226</v>
      </c>
      <c r="K111" s="2"/>
      <c r="L111" s="2"/>
    </row>
    <row r="112" ht="22.5" customHeight="1">
      <c r="A112" s="42" t="s">
        <v>44</v>
      </c>
      <c r="B112" s="42" t="s">
        <v>361</v>
      </c>
      <c r="C112" s="42" t="s">
        <v>215</v>
      </c>
      <c r="D112" s="42" t="s">
        <v>363</v>
      </c>
      <c r="E112" s="50" t="s">
        <v>632</v>
      </c>
      <c r="F112" s="42" t="s">
        <v>728</v>
      </c>
      <c r="G112" s="42">
        <v>38454.0</v>
      </c>
      <c r="H112" s="42"/>
      <c r="I112" s="50" t="s">
        <v>47</v>
      </c>
      <c r="J112" s="42" t="s">
        <v>226</v>
      </c>
      <c r="K112" s="2"/>
      <c r="L112" s="2"/>
    </row>
    <row r="113" ht="22.5" customHeight="1">
      <c r="A113" s="42" t="s">
        <v>44</v>
      </c>
      <c r="B113" s="42" t="s">
        <v>32</v>
      </c>
      <c r="C113" s="42" t="s">
        <v>215</v>
      </c>
      <c r="D113" s="42" t="s">
        <v>313</v>
      </c>
      <c r="E113" s="50" t="s">
        <v>220</v>
      </c>
      <c r="F113" s="42">
        <v>14767.0</v>
      </c>
      <c r="G113" s="42">
        <v>38451.0</v>
      </c>
      <c r="H113" s="42"/>
      <c r="I113" s="50" t="s">
        <v>159</v>
      </c>
      <c r="J113" s="42" t="s">
        <v>226</v>
      </c>
      <c r="K113" s="2"/>
      <c r="L113" s="2"/>
    </row>
    <row r="114" ht="22.5" customHeight="1">
      <c r="A114" s="42" t="s">
        <v>44</v>
      </c>
      <c r="B114" s="42" t="s">
        <v>96</v>
      </c>
      <c r="C114" s="42" t="s">
        <v>215</v>
      </c>
      <c r="D114" s="42" t="s">
        <v>734</v>
      </c>
      <c r="E114" s="50" t="s">
        <v>220</v>
      </c>
      <c r="F114" s="42" t="s">
        <v>736</v>
      </c>
      <c r="G114" s="42" t="s">
        <v>224</v>
      </c>
      <c r="H114" s="42"/>
      <c r="I114" s="50" t="s">
        <v>159</v>
      </c>
      <c r="J114" s="42" t="s">
        <v>226</v>
      </c>
      <c r="K114" s="2"/>
      <c r="L114" s="2"/>
    </row>
    <row r="115" ht="22.5" customHeight="1">
      <c r="A115" s="42" t="s">
        <v>44</v>
      </c>
      <c r="B115" s="42" t="s">
        <v>96</v>
      </c>
      <c r="C115" s="42" t="s">
        <v>215</v>
      </c>
      <c r="D115" s="42" t="s">
        <v>98</v>
      </c>
      <c r="E115" s="50" t="s">
        <v>220</v>
      </c>
      <c r="F115" s="42" t="s">
        <v>739</v>
      </c>
      <c r="G115" s="42">
        <v>38422.0</v>
      </c>
      <c r="H115" s="42"/>
      <c r="I115" s="50" t="s">
        <v>159</v>
      </c>
      <c r="J115" s="42" t="s">
        <v>226</v>
      </c>
      <c r="K115" s="2"/>
      <c r="L115" s="2"/>
    </row>
    <row r="116" ht="22.5" customHeight="1">
      <c r="A116" s="42" t="s">
        <v>44</v>
      </c>
      <c r="B116" s="42" t="s">
        <v>426</v>
      </c>
      <c r="C116" s="42" t="s">
        <v>215</v>
      </c>
      <c r="D116" s="42" t="s">
        <v>428</v>
      </c>
      <c r="E116" s="50" t="s">
        <v>220</v>
      </c>
      <c r="F116" s="42" t="s">
        <v>742</v>
      </c>
      <c r="G116" s="42">
        <v>38421.0</v>
      </c>
      <c r="H116" s="42"/>
      <c r="I116" s="50" t="s">
        <v>159</v>
      </c>
      <c r="J116" s="42" t="s">
        <v>226</v>
      </c>
      <c r="K116" s="2"/>
      <c r="L116" s="2"/>
    </row>
    <row r="117" ht="22.5" customHeight="1">
      <c r="A117" s="42" t="s">
        <v>44</v>
      </c>
      <c r="B117" s="42" t="s">
        <v>381</v>
      </c>
      <c r="C117" s="42" t="s">
        <v>215</v>
      </c>
      <c r="D117" s="42" t="s">
        <v>383</v>
      </c>
      <c r="E117" s="50" t="s">
        <v>220</v>
      </c>
      <c r="F117" s="42">
        <v>34321.0</v>
      </c>
      <c r="G117" s="42">
        <v>38481.0</v>
      </c>
      <c r="H117" s="42"/>
      <c r="I117" s="50" t="s">
        <v>159</v>
      </c>
      <c r="J117" s="42" t="s">
        <v>226</v>
      </c>
      <c r="K117" s="2"/>
      <c r="L117" s="2"/>
    </row>
    <row r="118" ht="22.5" customHeight="1">
      <c r="A118" s="42" t="s">
        <v>44</v>
      </c>
      <c r="B118" s="42" t="s">
        <v>32</v>
      </c>
      <c r="C118" s="42" t="s">
        <v>215</v>
      </c>
      <c r="D118" s="42" t="s">
        <v>313</v>
      </c>
      <c r="E118" s="50" t="s">
        <v>220</v>
      </c>
      <c r="F118" s="42">
        <v>39605.0</v>
      </c>
      <c r="G118" s="42">
        <v>38448.0</v>
      </c>
      <c r="H118" s="149" t="s">
        <v>746</v>
      </c>
      <c r="I118" s="50" t="s">
        <v>747</v>
      </c>
      <c r="J118" s="42" t="s">
        <v>226</v>
      </c>
      <c r="K118" s="2"/>
      <c r="L118" s="2"/>
    </row>
    <row r="119" ht="22.5" customHeight="1">
      <c r="A119" s="42" t="s">
        <v>44</v>
      </c>
      <c r="B119" s="42" t="s">
        <v>214</v>
      </c>
      <c r="C119" s="42" t="s">
        <v>215</v>
      </c>
      <c r="D119" s="42" t="s">
        <v>750</v>
      </c>
      <c r="E119" s="50" t="s">
        <v>220</v>
      </c>
      <c r="F119" s="42" t="s">
        <v>751</v>
      </c>
      <c r="G119" s="42">
        <v>38449.0</v>
      </c>
      <c r="H119" s="149" t="s">
        <v>752</v>
      </c>
      <c r="I119" s="50" t="s">
        <v>747</v>
      </c>
      <c r="J119" s="42" t="s">
        <v>226</v>
      </c>
      <c r="K119" s="2"/>
      <c r="L119" s="2"/>
    </row>
    <row r="120" ht="22.5" customHeight="1">
      <c r="A120" s="42" t="s">
        <v>44</v>
      </c>
      <c r="B120" s="42" t="s">
        <v>534</v>
      </c>
      <c r="C120" s="42" t="s">
        <v>215</v>
      </c>
      <c r="D120" s="42" t="s">
        <v>753</v>
      </c>
      <c r="E120" s="50" t="s">
        <v>220</v>
      </c>
      <c r="F120" s="42" t="s">
        <v>754</v>
      </c>
      <c r="G120" s="42">
        <v>38576.0</v>
      </c>
      <c r="H120" s="149" t="s">
        <v>755</v>
      </c>
      <c r="I120" s="50" t="s">
        <v>747</v>
      </c>
      <c r="J120" s="42" t="s">
        <v>226</v>
      </c>
      <c r="K120" s="2"/>
      <c r="L120" s="2"/>
    </row>
    <row r="121" ht="22.5" customHeight="1">
      <c r="A121" s="42" t="s">
        <v>44</v>
      </c>
      <c r="B121" s="42" t="s">
        <v>291</v>
      </c>
      <c r="C121" s="42" t="s">
        <v>215</v>
      </c>
      <c r="D121" s="42" t="s">
        <v>297</v>
      </c>
      <c r="E121" s="50" t="s">
        <v>220</v>
      </c>
      <c r="F121" s="42" t="s">
        <v>759</v>
      </c>
      <c r="G121" s="42">
        <v>38567.0</v>
      </c>
      <c r="H121" s="149" t="s">
        <v>760</v>
      </c>
      <c r="I121" s="50" t="s">
        <v>747</v>
      </c>
      <c r="J121" s="42" t="s">
        <v>226</v>
      </c>
      <c r="K121" s="2"/>
      <c r="L121" s="2"/>
    </row>
    <row r="122" ht="22.5" customHeight="1">
      <c r="A122" s="42" t="s">
        <v>44</v>
      </c>
      <c r="B122" s="42" t="s">
        <v>214</v>
      </c>
      <c r="C122" s="42" t="s">
        <v>215</v>
      </c>
      <c r="D122" s="42" t="s">
        <v>384</v>
      </c>
      <c r="E122" s="50" t="s">
        <v>220</v>
      </c>
      <c r="F122" s="42">
        <v>35805.0</v>
      </c>
      <c r="G122" s="42">
        <v>38475.0</v>
      </c>
      <c r="H122" s="42"/>
      <c r="I122" s="50" t="s">
        <v>761</v>
      </c>
      <c r="J122" s="42" t="s">
        <v>226</v>
      </c>
      <c r="K122" s="2"/>
      <c r="L122" s="2"/>
    </row>
    <row r="123" ht="22.5" customHeight="1">
      <c r="A123" s="42" t="s">
        <v>44</v>
      </c>
      <c r="B123" s="42" t="s">
        <v>214</v>
      </c>
      <c r="C123" s="42" t="s">
        <v>215</v>
      </c>
      <c r="D123" s="42" t="s">
        <v>384</v>
      </c>
      <c r="E123" s="50" t="s">
        <v>220</v>
      </c>
      <c r="F123" s="42">
        <v>34340.0</v>
      </c>
      <c r="G123" s="42" t="s">
        <v>224</v>
      </c>
      <c r="H123" s="42"/>
      <c r="I123" s="50" t="s">
        <v>761</v>
      </c>
      <c r="J123" s="42" t="s">
        <v>226</v>
      </c>
      <c r="K123" s="2"/>
      <c r="L123" s="2"/>
    </row>
    <row r="124" ht="22.5" customHeight="1">
      <c r="A124" s="42" t="s">
        <v>44</v>
      </c>
      <c r="B124" s="42" t="s">
        <v>214</v>
      </c>
      <c r="C124" s="42" t="s">
        <v>215</v>
      </c>
      <c r="D124" s="42" t="s">
        <v>384</v>
      </c>
      <c r="E124" s="50" t="s">
        <v>220</v>
      </c>
      <c r="F124" s="42">
        <v>39609.0</v>
      </c>
      <c r="G124" s="42">
        <v>38477.0</v>
      </c>
      <c r="H124" s="42"/>
      <c r="I124" s="50" t="s">
        <v>761</v>
      </c>
      <c r="J124" s="42" t="s">
        <v>226</v>
      </c>
      <c r="K124" s="2"/>
      <c r="L124" s="2"/>
    </row>
    <row r="125" ht="22.5" customHeight="1">
      <c r="A125" s="42" t="s">
        <v>44</v>
      </c>
      <c r="B125" s="42" t="s">
        <v>214</v>
      </c>
      <c r="C125" s="42" t="s">
        <v>215</v>
      </c>
      <c r="D125" s="42" t="s">
        <v>384</v>
      </c>
      <c r="E125" s="50" t="s">
        <v>220</v>
      </c>
      <c r="F125" s="42">
        <v>34305.0</v>
      </c>
      <c r="G125" s="42" t="s">
        <v>224</v>
      </c>
      <c r="H125" s="42"/>
      <c r="I125" s="50" t="s">
        <v>761</v>
      </c>
      <c r="J125" s="42" t="s">
        <v>226</v>
      </c>
      <c r="K125" s="2"/>
      <c r="L125" s="2"/>
    </row>
    <row r="126" ht="22.5" customHeight="1">
      <c r="A126" s="42" t="s">
        <v>44</v>
      </c>
      <c r="B126" s="42" t="s">
        <v>214</v>
      </c>
      <c r="C126" s="42" t="s">
        <v>215</v>
      </c>
      <c r="D126" s="42" t="s">
        <v>384</v>
      </c>
      <c r="E126" s="50" t="s">
        <v>220</v>
      </c>
      <c r="F126" s="42">
        <v>39557.0</v>
      </c>
      <c r="G126" s="42">
        <v>38565.0</v>
      </c>
      <c r="H126" s="42"/>
      <c r="I126" s="50" t="s">
        <v>761</v>
      </c>
      <c r="J126" s="42" t="s">
        <v>226</v>
      </c>
      <c r="K126" s="2"/>
      <c r="L126" s="2"/>
    </row>
    <row r="127" ht="22.5" customHeight="1">
      <c r="A127" s="42" t="s">
        <v>44</v>
      </c>
      <c r="B127" s="42" t="s">
        <v>32</v>
      </c>
      <c r="C127" s="42" t="s">
        <v>215</v>
      </c>
      <c r="D127" s="42" t="s">
        <v>309</v>
      </c>
      <c r="E127" s="50" t="s">
        <v>220</v>
      </c>
      <c r="F127" s="42">
        <v>19721.0</v>
      </c>
      <c r="G127" s="42">
        <v>38470.0</v>
      </c>
      <c r="H127" s="42"/>
      <c r="I127" s="50" t="s">
        <v>761</v>
      </c>
      <c r="J127" s="42" t="s">
        <v>226</v>
      </c>
      <c r="K127" s="2"/>
      <c r="L127" s="2"/>
    </row>
    <row r="128" ht="22.5" customHeight="1">
      <c r="A128" s="42" t="s">
        <v>44</v>
      </c>
      <c r="B128" s="42" t="s">
        <v>32</v>
      </c>
      <c r="C128" s="42" t="s">
        <v>215</v>
      </c>
      <c r="D128" s="42" t="s">
        <v>309</v>
      </c>
      <c r="E128" s="50" t="s">
        <v>220</v>
      </c>
      <c r="F128" s="42">
        <v>34334.0</v>
      </c>
      <c r="G128" s="42">
        <v>38476.0</v>
      </c>
      <c r="H128" s="42"/>
      <c r="I128" s="50" t="s">
        <v>761</v>
      </c>
      <c r="J128" s="42" t="s">
        <v>226</v>
      </c>
      <c r="K128" s="2"/>
      <c r="L128" s="2"/>
    </row>
    <row r="129" ht="22.5" customHeight="1">
      <c r="A129" s="42" t="s">
        <v>44</v>
      </c>
      <c r="B129" s="42" t="s">
        <v>32</v>
      </c>
      <c r="C129" s="42" t="s">
        <v>215</v>
      </c>
      <c r="D129" s="42" t="s">
        <v>188</v>
      </c>
      <c r="E129" s="50" t="s">
        <v>220</v>
      </c>
      <c r="F129" s="42" t="s">
        <v>693</v>
      </c>
      <c r="G129" s="42">
        <v>38480.0</v>
      </c>
      <c r="H129" s="42"/>
      <c r="I129" s="50" t="s">
        <v>761</v>
      </c>
      <c r="J129" s="42" t="s">
        <v>226</v>
      </c>
      <c r="K129" s="2"/>
      <c r="L129" s="2"/>
    </row>
    <row r="130" ht="22.5" customHeight="1">
      <c r="A130" s="42" t="s">
        <v>44</v>
      </c>
      <c r="B130" s="42" t="s">
        <v>32</v>
      </c>
      <c r="C130" s="42" t="s">
        <v>215</v>
      </c>
      <c r="D130" s="42" t="s">
        <v>392</v>
      </c>
      <c r="E130" s="50" t="s">
        <v>220</v>
      </c>
      <c r="F130" s="42">
        <v>19927.0</v>
      </c>
      <c r="G130" s="42">
        <v>38483.0</v>
      </c>
      <c r="H130" s="42"/>
      <c r="I130" s="50" t="s">
        <v>761</v>
      </c>
      <c r="J130" s="42" t="s">
        <v>226</v>
      </c>
      <c r="K130" s="2"/>
      <c r="L130" s="2"/>
    </row>
    <row r="131" ht="22.5" customHeight="1">
      <c r="A131" s="42" t="s">
        <v>44</v>
      </c>
      <c r="B131" s="42" t="s">
        <v>32</v>
      </c>
      <c r="C131" s="42" t="s">
        <v>215</v>
      </c>
      <c r="D131" s="42" t="s">
        <v>177</v>
      </c>
      <c r="E131" s="50" t="s">
        <v>220</v>
      </c>
      <c r="F131" s="42" t="s">
        <v>780</v>
      </c>
      <c r="G131" s="42">
        <v>38403.0</v>
      </c>
      <c r="H131" s="42"/>
      <c r="I131" s="50" t="s">
        <v>761</v>
      </c>
      <c r="J131" s="42" t="s">
        <v>226</v>
      </c>
      <c r="K131" s="2"/>
      <c r="L131" s="2"/>
    </row>
    <row r="132" ht="22.5" customHeight="1">
      <c r="A132" s="42" t="s">
        <v>44</v>
      </c>
      <c r="B132" s="42" t="s">
        <v>785</v>
      </c>
      <c r="C132" s="42" t="s">
        <v>215</v>
      </c>
      <c r="D132" s="42" t="s">
        <v>787</v>
      </c>
      <c r="E132" s="50" t="s">
        <v>220</v>
      </c>
      <c r="F132" s="42" t="s">
        <v>789</v>
      </c>
      <c r="G132" s="42">
        <v>38400.0</v>
      </c>
      <c r="H132" s="42"/>
      <c r="I132" s="50" t="s">
        <v>761</v>
      </c>
      <c r="J132" s="42" t="s">
        <v>226</v>
      </c>
      <c r="K132" s="2"/>
      <c r="L132" s="2"/>
    </row>
    <row r="133" ht="22.5" customHeight="1">
      <c r="A133" s="42" t="s">
        <v>44</v>
      </c>
      <c r="B133" s="42" t="s">
        <v>129</v>
      </c>
      <c r="C133" s="42" t="s">
        <v>215</v>
      </c>
      <c r="D133" s="42" t="s">
        <v>131</v>
      </c>
      <c r="E133" s="50" t="s">
        <v>220</v>
      </c>
      <c r="F133" s="42">
        <v>35902.0</v>
      </c>
      <c r="G133" s="42">
        <v>38491.0</v>
      </c>
      <c r="H133" s="42"/>
      <c r="I133" s="50" t="s">
        <v>761</v>
      </c>
      <c r="J133" s="42" t="s">
        <v>226</v>
      </c>
      <c r="K133" s="2"/>
      <c r="L133" s="2"/>
    </row>
    <row r="134" ht="22.5" customHeight="1">
      <c r="A134" s="42" t="s">
        <v>44</v>
      </c>
      <c r="B134" s="42" t="s">
        <v>129</v>
      </c>
      <c r="C134" s="42" t="s">
        <v>215</v>
      </c>
      <c r="D134" s="42" t="s">
        <v>131</v>
      </c>
      <c r="E134" s="50" t="s">
        <v>220</v>
      </c>
      <c r="F134" s="42">
        <v>34310.0</v>
      </c>
      <c r="G134" s="42">
        <v>38586.0</v>
      </c>
      <c r="H134" s="42"/>
      <c r="I134" s="50" t="s">
        <v>761</v>
      </c>
      <c r="J134" s="42" t="s">
        <v>226</v>
      </c>
      <c r="K134" s="2"/>
      <c r="L134" s="2"/>
    </row>
    <row r="135" ht="22.5" customHeight="1">
      <c r="A135" s="42" t="s">
        <v>44</v>
      </c>
      <c r="B135" s="42" t="s">
        <v>129</v>
      </c>
      <c r="C135" s="42" t="s">
        <v>215</v>
      </c>
      <c r="D135" s="42" t="s">
        <v>131</v>
      </c>
      <c r="E135" s="50" t="s">
        <v>220</v>
      </c>
      <c r="F135" s="42">
        <v>18908.0</v>
      </c>
      <c r="G135" s="42">
        <v>38585.0</v>
      </c>
      <c r="H135" s="42"/>
      <c r="I135" s="50" t="s">
        <v>761</v>
      </c>
      <c r="J135" s="42" t="s">
        <v>226</v>
      </c>
      <c r="K135" s="2"/>
      <c r="L135" s="2"/>
    </row>
    <row r="136" ht="22.5" customHeight="1">
      <c r="A136" s="42" t="s">
        <v>44</v>
      </c>
      <c r="B136" s="42" t="s">
        <v>186</v>
      </c>
      <c r="C136" s="42" t="s">
        <v>215</v>
      </c>
      <c r="D136" s="42" t="s">
        <v>459</v>
      </c>
      <c r="E136" s="50" t="s">
        <v>220</v>
      </c>
      <c r="F136" s="42">
        <v>34306.0</v>
      </c>
      <c r="G136" s="42">
        <v>38424.0</v>
      </c>
      <c r="H136" s="42"/>
      <c r="I136" s="50" t="s">
        <v>761</v>
      </c>
      <c r="J136" s="42" t="s">
        <v>226</v>
      </c>
      <c r="K136" s="2"/>
      <c r="L136" s="2"/>
    </row>
    <row r="137" ht="22.5" customHeight="1">
      <c r="A137" s="42" t="s">
        <v>44</v>
      </c>
      <c r="B137" s="42" t="s">
        <v>433</v>
      </c>
      <c r="C137" s="42" t="s">
        <v>215</v>
      </c>
      <c r="D137" s="42" t="s">
        <v>436</v>
      </c>
      <c r="E137" s="50" t="s">
        <v>220</v>
      </c>
      <c r="F137" s="42">
        <v>19886.0</v>
      </c>
      <c r="G137" s="42">
        <v>16945.0</v>
      </c>
      <c r="H137" s="42"/>
      <c r="I137" s="50" t="s">
        <v>761</v>
      </c>
      <c r="J137" s="42" t="s">
        <v>226</v>
      </c>
      <c r="K137" s="2"/>
      <c r="L137" s="2"/>
    </row>
    <row r="138" ht="22.5" customHeight="1">
      <c r="A138" s="42" t="s">
        <v>44</v>
      </c>
      <c r="B138" s="42" t="s">
        <v>497</v>
      </c>
      <c r="C138" s="42" t="s">
        <v>215</v>
      </c>
      <c r="D138" s="42" t="s">
        <v>499</v>
      </c>
      <c r="E138" s="50" t="s">
        <v>220</v>
      </c>
      <c r="F138" s="42">
        <v>18912.0</v>
      </c>
      <c r="G138" s="42">
        <v>16946.0</v>
      </c>
      <c r="H138" s="42"/>
      <c r="I138" s="50" t="s">
        <v>761</v>
      </c>
      <c r="J138" s="42" t="s">
        <v>226</v>
      </c>
      <c r="K138" s="2"/>
      <c r="L138" s="2"/>
    </row>
    <row r="139" ht="22.5" customHeight="1">
      <c r="A139" s="42" t="s">
        <v>44</v>
      </c>
      <c r="B139" s="42" t="s">
        <v>505</v>
      </c>
      <c r="C139" s="42" t="s">
        <v>215</v>
      </c>
      <c r="D139" s="42" t="s">
        <v>506</v>
      </c>
      <c r="E139" s="50" t="s">
        <v>220</v>
      </c>
      <c r="F139" s="42" t="s">
        <v>819</v>
      </c>
      <c r="G139" s="42" t="s">
        <v>224</v>
      </c>
      <c r="H139" s="42"/>
      <c r="I139" s="50" t="s">
        <v>761</v>
      </c>
      <c r="J139" s="42" t="s">
        <v>226</v>
      </c>
      <c r="K139" s="2"/>
      <c r="L139" s="2"/>
    </row>
    <row r="140" ht="22.5" customHeight="1">
      <c r="A140" s="42" t="s">
        <v>44</v>
      </c>
      <c r="B140" s="42" t="s">
        <v>32</v>
      </c>
      <c r="C140" s="42" t="s">
        <v>215</v>
      </c>
      <c r="D140" s="42" t="s">
        <v>313</v>
      </c>
      <c r="E140" s="50" t="s">
        <v>220</v>
      </c>
      <c r="F140" s="42">
        <v>34347.0</v>
      </c>
      <c r="G140" s="42" t="s">
        <v>224</v>
      </c>
      <c r="H140" s="42"/>
      <c r="I140" s="50" t="s">
        <v>761</v>
      </c>
      <c r="J140" s="42" t="s">
        <v>226</v>
      </c>
      <c r="K140" s="2"/>
      <c r="L140" s="2"/>
    </row>
    <row r="141" ht="22.5" customHeight="1">
      <c r="A141" s="42" t="s">
        <v>44</v>
      </c>
      <c r="B141" s="42" t="s">
        <v>426</v>
      </c>
      <c r="C141" s="42" t="s">
        <v>215</v>
      </c>
      <c r="D141" s="42" t="s">
        <v>428</v>
      </c>
      <c r="E141" s="50" t="s">
        <v>220</v>
      </c>
      <c r="F141" s="42" t="s">
        <v>813</v>
      </c>
      <c r="G141" s="42">
        <v>38494.0</v>
      </c>
      <c r="H141" s="42"/>
      <c r="I141" s="50" t="s">
        <v>761</v>
      </c>
      <c r="J141" s="42" t="s">
        <v>226</v>
      </c>
      <c r="K141" s="2"/>
      <c r="L141" s="2"/>
    </row>
    <row r="142" ht="22.5" customHeight="1">
      <c r="A142" s="42" t="s">
        <v>44</v>
      </c>
      <c r="B142" s="42" t="s">
        <v>186</v>
      </c>
      <c r="C142" s="42" t="s">
        <v>215</v>
      </c>
      <c r="D142" s="42" t="s">
        <v>459</v>
      </c>
      <c r="E142" s="50" t="s">
        <v>220</v>
      </c>
      <c r="F142" s="42" t="s">
        <v>829</v>
      </c>
      <c r="G142" s="42">
        <v>38457.0</v>
      </c>
      <c r="H142" s="42"/>
      <c r="I142" s="50" t="s">
        <v>761</v>
      </c>
      <c r="J142" s="42" t="s">
        <v>226</v>
      </c>
      <c r="K142" s="2"/>
      <c r="L142" s="2"/>
    </row>
    <row r="143" ht="22.5" customHeight="1">
      <c r="A143" s="42" t="s">
        <v>44</v>
      </c>
      <c r="B143" s="42" t="s">
        <v>785</v>
      </c>
      <c r="C143" s="42" t="s">
        <v>215</v>
      </c>
      <c r="D143" s="42" t="s">
        <v>787</v>
      </c>
      <c r="E143" s="50" t="s">
        <v>220</v>
      </c>
      <c r="F143" s="42" t="s">
        <v>824</v>
      </c>
      <c r="G143" s="42" t="s">
        <v>224</v>
      </c>
      <c r="H143" s="42"/>
      <c r="I143" s="50" t="s">
        <v>761</v>
      </c>
      <c r="J143" s="42" t="s">
        <v>226</v>
      </c>
      <c r="K143" s="2"/>
      <c r="L143" s="2"/>
    </row>
    <row r="144" ht="22.5" customHeight="1">
      <c r="A144" s="42" t="s">
        <v>44</v>
      </c>
      <c r="B144" s="42" t="s">
        <v>348</v>
      </c>
      <c r="C144" s="42" t="s">
        <v>215</v>
      </c>
      <c r="D144" s="42" t="s">
        <v>319</v>
      </c>
      <c r="E144" s="50" t="s">
        <v>632</v>
      </c>
      <c r="F144" s="42" t="s">
        <v>606</v>
      </c>
      <c r="G144" s="42">
        <v>38401.0</v>
      </c>
      <c r="H144" s="42"/>
      <c r="I144" s="50" t="s">
        <v>761</v>
      </c>
      <c r="J144" s="42" t="s">
        <v>226</v>
      </c>
      <c r="K144" s="2"/>
      <c r="L144" s="2"/>
    </row>
    <row r="145" ht="22.5" customHeight="1">
      <c r="A145" s="42" t="s">
        <v>836</v>
      </c>
      <c r="B145" s="42" t="s">
        <v>32</v>
      </c>
      <c r="C145" s="42" t="s">
        <v>215</v>
      </c>
      <c r="D145" s="42" t="s">
        <v>177</v>
      </c>
      <c r="E145" s="50" t="s">
        <v>220</v>
      </c>
      <c r="F145" s="42" t="s">
        <v>776</v>
      </c>
      <c r="G145" s="42" t="s">
        <v>224</v>
      </c>
      <c r="H145" s="42" t="s">
        <v>841</v>
      </c>
      <c r="I145" s="50" t="s">
        <v>761</v>
      </c>
      <c r="J145" s="42" t="s">
        <v>226</v>
      </c>
      <c r="K145" s="2"/>
      <c r="L145" s="2"/>
    </row>
    <row r="146" ht="22.5" customHeight="1">
      <c r="A146" s="42" t="s">
        <v>836</v>
      </c>
      <c r="B146" s="42" t="s">
        <v>32</v>
      </c>
      <c r="C146" s="42" t="s">
        <v>215</v>
      </c>
      <c r="D146" s="42" t="s">
        <v>349</v>
      </c>
      <c r="E146" s="50" t="s">
        <v>220</v>
      </c>
      <c r="F146" s="42">
        <v>18838.0</v>
      </c>
      <c r="G146" s="42" t="s">
        <v>224</v>
      </c>
      <c r="H146" s="42" t="s">
        <v>841</v>
      </c>
      <c r="I146" s="50" t="s">
        <v>761</v>
      </c>
      <c r="J146" s="42" t="s">
        <v>226</v>
      </c>
      <c r="K146" s="2"/>
      <c r="L146" s="2"/>
    </row>
    <row r="147" ht="22.5" customHeight="1">
      <c r="A147" s="42" t="s">
        <v>44</v>
      </c>
      <c r="B147" s="42" t="s">
        <v>32</v>
      </c>
      <c r="C147" s="42" t="s">
        <v>215</v>
      </c>
      <c r="D147" s="42" t="s">
        <v>309</v>
      </c>
      <c r="E147" s="50" t="s">
        <v>220</v>
      </c>
      <c r="F147" s="42">
        <v>35793.0</v>
      </c>
      <c r="G147" s="42">
        <v>38446.0</v>
      </c>
      <c r="H147" s="42"/>
      <c r="I147" s="50" t="s">
        <v>847</v>
      </c>
      <c r="J147" s="42" t="s">
        <v>226</v>
      </c>
      <c r="K147" s="2"/>
      <c r="L147" s="2"/>
    </row>
    <row r="148" ht="22.5" customHeight="1">
      <c r="A148" s="42" t="s">
        <v>44</v>
      </c>
      <c r="B148" s="42" t="s">
        <v>32</v>
      </c>
      <c r="C148" s="42" t="s">
        <v>215</v>
      </c>
      <c r="D148" s="42" t="s">
        <v>309</v>
      </c>
      <c r="E148" s="50" t="s">
        <v>220</v>
      </c>
      <c r="F148" s="42">
        <v>34335.0</v>
      </c>
      <c r="G148" s="42">
        <v>38459.0</v>
      </c>
      <c r="H148" s="42"/>
      <c r="I148" s="50" t="s">
        <v>847</v>
      </c>
      <c r="J148" s="42" t="s">
        <v>226</v>
      </c>
      <c r="K148" s="2"/>
      <c r="L148" s="2"/>
    </row>
    <row r="149" ht="22.5" customHeight="1">
      <c r="A149" s="42" t="s">
        <v>44</v>
      </c>
      <c r="B149" s="42" t="s">
        <v>32</v>
      </c>
      <c r="C149" s="42" t="s">
        <v>215</v>
      </c>
      <c r="D149" s="42" t="s">
        <v>313</v>
      </c>
      <c r="E149" s="50" t="s">
        <v>220</v>
      </c>
      <c r="F149" s="42">
        <v>34346.0</v>
      </c>
      <c r="G149" s="42">
        <v>38452.0</v>
      </c>
      <c r="H149" s="42"/>
      <c r="I149" s="50" t="s">
        <v>847</v>
      </c>
      <c r="J149" s="42" t="s">
        <v>226</v>
      </c>
      <c r="K149" s="2"/>
      <c r="L149" s="2"/>
    </row>
    <row r="150" ht="22.5" customHeight="1">
      <c r="A150" s="42" t="s">
        <v>44</v>
      </c>
      <c r="B150" s="42" t="s">
        <v>32</v>
      </c>
      <c r="C150" s="42" t="s">
        <v>215</v>
      </c>
      <c r="D150" s="42" t="s">
        <v>313</v>
      </c>
      <c r="E150" s="50" t="s">
        <v>220</v>
      </c>
      <c r="F150" s="42">
        <v>34345.0</v>
      </c>
      <c r="G150" s="42">
        <v>38460.0</v>
      </c>
      <c r="H150" s="42"/>
      <c r="I150" s="50" t="s">
        <v>847</v>
      </c>
      <c r="J150" s="42" t="s">
        <v>226</v>
      </c>
      <c r="K150" s="2"/>
      <c r="L150" s="2"/>
    </row>
    <row r="151" ht="22.5" customHeight="1">
      <c r="A151" s="42" t="s">
        <v>44</v>
      </c>
      <c r="B151" s="42" t="s">
        <v>32</v>
      </c>
      <c r="C151" s="42" t="s">
        <v>215</v>
      </c>
      <c r="D151" s="42" t="s">
        <v>313</v>
      </c>
      <c r="E151" s="50" t="s">
        <v>220</v>
      </c>
      <c r="F151" s="42">
        <v>14768.0</v>
      </c>
      <c r="G151" s="42">
        <v>38453.0</v>
      </c>
      <c r="H151" s="42"/>
      <c r="I151" s="50" t="s">
        <v>847</v>
      </c>
      <c r="J151" s="42" t="s">
        <v>226</v>
      </c>
      <c r="K151" s="2"/>
      <c r="L151" s="2"/>
    </row>
    <row r="152" ht="22.5" customHeight="1">
      <c r="A152" s="42" t="s">
        <v>44</v>
      </c>
      <c r="B152" s="42" t="s">
        <v>32</v>
      </c>
      <c r="C152" s="42" t="s">
        <v>215</v>
      </c>
      <c r="D152" s="42" t="s">
        <v>345</v>
      </c>
      <c r="E152" s="50" t="s">
        <v>220</v>
      </c>
      <c r="F152" s="42">
        <v>34341.0</v>
      </c>
      <c r="G152" s="42">
        <v>38495.0</v>
      </c>
      <c r="H152" s="42"/>
      <c r="I152" s="50" t="s">
        <v>847</v>
      </c>
      <c r="J152" s="42" t="s">
        <v>226</v>
      </c>
      <c r="K152" s="2"/>
      <c r="L152" s="2"/>
    </row>
    <row r="153" ht="22.5" customHeight="1">
      <c r="A153" s="42" t="s">
        <v>44</v>
      </c>
      <c r="B153" s="42" t="s">
        <v>32</v>
      </c>
      <c r="C153" s="42" t="s">
        <v>215</v>
      </c>
      <c r="D153" s="42" t="s">
        <v>365</v>
      </c>
      <c r="E153" s="50" t="s">
        <v>220</v>
      </c>
      <c r="F153" s="42">
        <v>14773.0</v>
      </c>
      <c r="G153" s="42">
        <v>38496.0</v>
      </c>
      <c r="H153" s="42"/>
      <c r="I153" s="50" t="s">
        <v>847</v>
      </c>
      <c r="J153" s="42" t="s">
        <v>226</v>
      </c>
      <c r="K153" s="2"/>
      <c r="L153" s="2"/>
    </row>
    <row r="154" ht="22.5" customHeight="1">
      <c r="A154" s="42" t="s">
        <v>44</v>
      </c>
      <c r="B154" s="42" t="s">
        <v>129</v>
      </c>
      <c r="C154" s="42" t="s">
        <v>215</v>
      </c>
      <c r="D154" s="42" t="s">
        <v>131</v>
      </c>
      <c r="E154" s="134" t="s">
        <v>220</v>
      </c>
      <c r="F154" s="137">
        <v>34325.0</v>
      </c>
      <c r="G154" s="137">
        <v>38484.0</v>
      </c>
      <c r="H154" s="137"/>
      <c r="I154" s="134" t="s">
        <v>847</v>
      </c>
      <c r="J154" s="42" t="s">
        <v>226</v>
      </c>
      <c r="K154" s="2"/>
      <c r="L154" s="2"/>
    </row>
    <row r="155" ht="22.5" customHeight="1">
      <c r="A155" s="42" t="s">
        <v>44</v>
      </c>
      <c r="B155" s="42" t="s">
        <v>186</v>
      </c>
      <c r="C155" s="42" t="s">
        <v>215</v>
      </c>
      <c r="D155" s="42" t="s">
        <v>459</v>
      </c>
      <c r="E155" s="134" t="s">
        <v>220</v>
      </c>
      <c r="F155" s="137">
        <v>34316.0</v>
      </c>
      <c r="G155" s="137">
        <v>38492.0</v>
      </c>
      <c r="H155" s="137"/>
      <c r="I155" s="134" t="s">
        <v>847</v>
      </c>
      <c r="J155" s="42" t="s">
        <v>226</v>
      </c>
      <c r="K155" s="2"/>
      <c r="L155" s="2"/>
    </row>
    <row r="156">
      <c r="A156" s="2"/>
      <c r="B156" s="2"/>
      <c r="C156" s="2"/>
      <c r="D156" s="2"/>
      <c r="E156" s="2"/>
      <c r="F156" s="89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89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89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89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89"/>
      <c r="G160" s="2"/>
      <c r="H160" s="2"/>
      <c r="I160" s="2"/>
      <c r="J160" s="2"/>
      <c r="K160" s="2"/>
      <c r="L160" s="2"/>
    </row>
  </sheetData>
  <mergeCells count="1">
    <mergeCell ref="J3:L3"/>
  </mergeCells>
  <dataValidations>
    <dataValidation type="list" allowBlank="1" sqref="E5:E155">
      <formula1>"METTUS HS+,METTUS ASD"</formula1>
    </dataValidation>
    <dataValidation type="list" allowBlank="1" sqref="I5:I155">
      <formula1>"INOPERANTE,FUNCIONANDO,ANÁLISE LABORATORIAL,CONDENADO - DETRONIX,NOVA AVALIAÇÃO"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7.38"/>
    <col customWidth="1" min="2" max="2" width="17.25"/>
    <col customWidth="1" min="3" max="3" width="20.75"/>
    <col customWidth="1" min="4" max="4" width="20.13"/>
    <col customWidth="1" min="5" max="5" width="27.63"/>
    <col customWidth="1" min="6" max="6" width="38.63"/>
    <col customWidth="1" min="7" max="7" width="26.88"/>
    <col customWidth="1" min="8" max="8" width="14.63"/>
    <col customWidth="1" min="9" max="9" width="27.0"/>
    <col customWidth="1" min="10" max="10" width="34.5"/>
    <col customWidth="1" min="11" max="11" width="22.0"/>
    <col customWidth="1" min="12" max="12" width="26.5"/>
    <col customWidth="1" min="13" max="13" width="23.13"/>
    <col customWidth="1" min="14" max="14" width="37.63"/>
    <col customWidth="1" min="15" max="15" width="262.5"/>
    <col customWidth="1" min="16" max="16" width="32.13"/>
    <col customWidth="1" min="17" max="17" width="19.63"/>
    <col customWidth="1" min="18" max="18" width="27.5"/>
    <col customWidth="1" min="19" max="19" width="37.13"/>
  </cols>
  <sheetData>
    <row r="1">
      <c r="A1" s="2"/>
      <c r="S1" s="89"/>
      <c r="T1" s="2"/>
      <c r="U1" s="2"/>
      <c r="V1" s="2"/>
      <c r="W1" s="2"/>
      <c r="X1" s="2"/>
      <c r="Y1" s="2"/>
      <c r="Z1" s="2"/>
      <c r="AA1" s="2"/>
    </row>
    <row r="2">
      <c r="S2" s="89"/>
      <c r="T2" s="2"/>
      <c r="U2" s="2"/>
      <c r="V2" s="2"/>
      <c r="W2" s="2"/>
      <c r="X2" s="2"/>
      <c r="Y2" s="2"/>
      <c r="Z2" s="2"/>
      <c r="AA2" s="2"/>
    </row>
    <row r="3">
      <c r="S3" s="89"/>
      <c r="T3" s="2"/>
      <c r="U3" s="2"/>
      <c r="V3" s="2"/>
      <c r="W3" s="2"/>
      <c r="X3" s="2"/>
      <c r="Y3" s="2"/>
      <c r="Z3" s="2"/>
      <c r="AA3" s="2"/>
    </row>
    <row r="4" ht="50.25" customHeight="1">
      <c r="S4" s="89"/>
      <c r="T4" s="2"/>
      <c r="U4" s="2"/>
      <c r="V4" s="2"/>
      <c r="W4" s="2"/>
      <c r="X4" s="2"/>
      <c r="Y4" s="2"/>
      <c r="Z4" s="2"/>
      <c r="AA4" s="2"/>
    </row>
    <row r="5" ht="22.5" customHeight="1">
      <c r="A5" s="21" t="s">
        <v>2</v>
      </c>
      <c r="B5" s="21" t="s">
        <v>259</v>
      </c>
      <c r="C5" s="21" t="s">
        <v>261</v>
      </c>
      <c r="D5" s="21" t="s">
        <v>5</v>
      </c>
      <c r="E5" s="37" t="s">
        <v>262</v>
      </c>
      <c r="F5" s="21" t="s">
        <v>263</v>
      </c>
      <c r="G5" s="42" t="s">
        <v>12</v>
      </c>
      <c r="H5" s="21" t="s">
        <v>9</v>
      </c>
      <c r="I5" s="21" t="s">
        <v>8</v>
      </c>
      <c r="J5" s="37" t="s">
        <v>265</v>
      </c>
      <c r="K5" s="21" t="s">
        <v>266</v>
      </c>
      <c r="L5" s="37" t="s">
        <v>267</v>
      </c>
      <c r="M5" s="21" t="s">
        <v>268</v>
      </c>
      <c r="N5" s="21" t="s">
        <v>269</v>
      </c>
      <c r="O5" s="106" t="s">
        <v>271</v>
      </c>
      <c r="P5" s="21" t="s">
        <v>274</v>
      </c>
      <c r="Q5" s="21" t="s">
        <v>276</v>
      </c>
      <c r="R5" s="21" t="s">
        <v>277</v>
      </c>
      <c r="S5" s="42" t="s">
        <v>22</v>
      </c>
      <c r="T5" s="109"/>
      <c r="U5" s="109"/>
      <c r="V5" s="109"/>
      <c r="W5" s="109"/>
      <c r="X5" s="109"/>
      <c r="Y5" s="109"/>
      <c r="Z5" s="109"/>
      <c r="AA5" s="109"/>
    </row>
    <row r="6" ht="33.75" customHeight="1">
      <c r="A6" s="112" t="s">
        <v>278</v>
      </c>
      <c r="B6" s="112" t="s">
        <v>112</v>
      </c>
      <c r="C6" s="114" t="s">
        <v>280</v>
      </c>
      <c r="D6" s="112" t="s">
        <v>35</v>
      </c>
      <c r="E6" s="115" t="s">
        <v>282</v>
      </c>
      <c r="F6" s="116" t="s">
        <v>283</v>
      </c>
      <c r="G6" s="112" t="s">
        <v>285</v>
      </c>
      <c r="H6" s="114">
        <v>4.079001001E9</v>
      </c>
      <c r="I6" s="114" t="s">
        <v>37</v>
      </c>
      <c r="J6" s="118">
        <v>45593.0</v>
      </c>
      <c r="K6" s="119">
        <v>45602.0</v>
      </c>
      <c r="L6" s="114" t="s">
        <v>289</v>
      </c>
      <c r="M6" s="120"/>
      <c r="N6" s="120"/>
      <c r="O6" s="121" t="s">
        <v>292</v>
      </c>
      <c r="P6" s="114" t="s">
        <v>294</v>
      </c>
      <c r="Q6" s="122" t="s">
        <v>296</v>
      </c>
      <c r="R6" s="122" t="s">
        <v>300</v>
      </c>
      <c r="S6" s="116" t="s">
        <v>303</v>
      </c>
      <c r="T6" s="2"/>
      <c r="U6" s="2"/>
      <c r="V6" s="2"/>
      <c r="W6" s="2"/>
      <c r="X6" s="2"/>
      <c r="Y6" s="2"/>
      <c r="Z6" s="2"/>
      <c r="AA6" s="2"/>
    </row>
    <row r="7" ht="33.75" customHeight="1">
      <c r="A7" s="112" t="s">
        <v>278</v>
      </c>
      <c r="B7" s="112" t="s">
        <v>112</v>
      </c>
      <c r="C7" s="114" t="s">
        <v>280</v>
      </c>
      <c r="D7" s="112" t="s">
        <v>35</v>
      </c>
      <c r="E7" s="115" t="s">
        <v>282</v>
      </c>
      <c r="F7" s="116" t="s">
        <v>283</v>
      </c>
      <c r="G7" s="112" t="s">
        <v>285</v>
      </c>
      <c r="H7" s="114">
        <v>4.102101001E9</v>
      </c>
      <c r="I7" s="114" t="s">
        <v>37</v>
      </c>
      <c r="J7" s="118">
        <v>45593.0</v>
      </c>
      <c r="K7" s="119">
        <v>45602.0</v>
      </c>
      <c r="L7" s="114" t="s">
        <v>314</v>
      </c>
      <c r="M7" s="120"/>
      <c r="N7" s="120"/>
      <c r="O7" s="121" t="s">
        <v>316</v>
      </c>
      <c r="P7" s="114" t="s">
        <v>294</v>
      </c>
      <c r="Q7" s="122" t="s">
        <v>296</v>
      </c>
      <c r="R7" s="122" t="s">
        <v>318</v>
      </c>
      <c r="S7" s="116" t="s">
        <v>303</v>
      </c>
      <c r="T7" s="2"/>
      <c r="U7" s="2"/>
      <c r="V7" s="2"/>
      <c r="W7" s="2"/>
      <c r="X7" s="2"/>
      <c r="Y7" s="2"/>
      <c r="Z7" s="2"/>
      <c r="AA7" s="2"/>
    </row>
    <row r="8" ht="33.75" customHeight="1">
      <c r="A8" s="112" t="s">
        <v>278</v>
      </c>
      <c r="B8" s="112" t="s">
        <v>112</v>
      </c>
      <c r="C8" s="114" t="s">
        <v>280</v>
      </c>
      <c r="D8" s="112" t="s">
        <v>35</v>
      </c>
      <c r="E8" s="115" t="s">
        <v>282</v>
      </c>
      <c r="F8" s="116" t="s">
        <v>283</v>
      </c>
      <c r="G8" s="112" t="s">
        <v>285</v>
      </c>
      <c r="H8" s="114">
        <v>3.942001001E9</v>
      </c>
      <c r="I8" s="114" t="s">
        <v>70</v>
      </c>
      <c r="J8" s="118">
        <v>45593.0</v>
      </c>
      <c r="K8" s="119">
        <v>45601.0</v>
      </c>
      <c r="L8" s="114" t="s">
        <v>328</v>
      </c>
      <c r="M8" s="120"/>
      <c r="N8" s="120"/>
      <c r="O8" s="121" t="s">
        <v>331</v>
      </c>
      <c r="P8" s="114" t="s">
        <v>294</v>
      </c>
      <c r="Q8" s="122" t="s">
        <v>296</v>
      </c>
      <c r="R8" s="122" t="s">
        <v>332</v>
      </c>
      <c r="S8" s="116" t="s">
        <v>303</v>
      </c>
      <c r="T8" s="2"/>
      <c r="U8" s="2"/>
      <c r="V8" s="2"/>
      <c r="W8" s="2"/>
      <c r="X8" s="2"/>
      <c r="Y8" s="2"/>
      <c r="Z8" s="2"/>
      <c r="AA8" s="2"/>
    </row>
    <row r="9" ht="33.75" customHeight="1">
      <c r="A9" s="112" t="s">
        <v>278</v>
      </c>
      <c r="B9" s="112" t="s">
        <v>112</v>
      </c>
      <c r="C9" s="114" t="s">
        <v>280</v>
      </c>
      <c r="D9" s="112" t="s">
        <v>35</v>
      </c>
      <c r="E9" s="115" t="s">
        <v>282</v>
      </c>
      <c r="F9" s="116" t="s">
        <v>283</v>
      </c>
      <c r="G9" s="112" t="s">
        <v>285</v>
      </c>
      <c r="H9" s="114">
        <v>1.299000006E9</v>
      </c>
      <c r="I9" s="114" t="s">
        <v>177</v>
      </c>
      <c r="J9" s="118">
        <v>45593.0</v>
      </c>
      <c r="K9" s="119">
        <v>45603.0</v>
      </c>
      <c r="L9" s="114" t="s">
        <v>343</v>
      </c>
      <c r="M9" s="120"/>
      <c r="N9" s="120"/>
      <c r="O9" s="121" t="s">
        <v>344</v>
      </c>
      <c r="P9" s="114" t="s">
        <v>294</v>
      </c>
      <c r="Q9" s="122" t="s">
        <v>296</v>
      </c>
      <c r="R9" s="122" t="s">
        <v>346</v>
      </c>
      <c r="S9" s="116" t="s">
        <v>303</v>
      </c>
      <c r="T9" s="2"/>
      <c r="U9" s="2"/>
      <c r="V9" s="2"/>
      <c r="W9" s="2"/>
      <c r="X9" s="2"/>
      <c r="Y9" s="2"/>
      <c r="Z9" s="2"/>
      <c r="AA9" s="2"/>
    </row>
    <row r="10" ht="33.75" customHeight="1">
      <c r="A10" s="112" t="s">
        <v>278</v>
      </c>
      <c r="B10" s="112" t="s">
        <v>112</v>
      </c>
      <c r="C10" s="114" t="s">
        <v>280</v>
      </c>
      <c r="D10" s="112" t="s">
        <v>35</v>
      </c>
      <c r="E10" s="115" t="s">
        <v>282</v>
      </c>
      <c r="F10" s="116" t="s">
        <v>283</v>
      </c>
      <c r="G10" s="112" t="s">
        <v>285</v>
      </c>
      <c r="H10" s="114">
        <v>4.123201001E9</v>
      </c>
      <c r="I10" s="114" t="s">
        <v>131</v>
      </c>
      <c r="J10" s="118">
        <v>45624.0</v>
      </c>
      <c r="K10" s="118">
        <v>45622.0</v>
      </c>
      <c r="L10" s="114" t="s">
        <v>353</v>
      </c>
      <c r="M10" s="120"/>
      <c r="N10" s="120"/>
      <c r="O10" s="121" t="s">
        <v>356</v>
      </c>
      <c r="P10" s="114" t="s">
        <v>294</v>
      </c>
      <c r="Q10" s="122" t="s">
        <v>296</v>
      </c>
      <c r="R10" s="122" t="s">
        <v>358</v>
      </c>
      <c r="S10" s="116" t="s">
        <v>303</v>
      </c>
      <c r="T10" s="2"/>
      <c r="U10" s="2"/>
      <c r="V10" s="2"/>
      <c r="W10" s="2"/>
      <c r="X10" s="2"/>
      <c r="Y10" s="2"/>
      <c r="Z10" s="2"/>
      <c r="AA10" s="2"/>
    </row>
    <row r="11" ht="33.75" customHeight="1">
      <c r="A11" s="112" t="s">
        <v>278</v>
      </c>
      <c r="B11" s="112" t="s">
        <v>112</v>
      </c>
      <c r="C11" s="114" t="s">
        <v>280</v>
      </c>
      <c r="D11" s="112" t="s">
        <v>35</v>
      </c>
      <c r="E11" s="115" t="s">
        <v>282</v>
      </c>
      <c r="F11" s="116" t="s">
        <v>283</v>
      </c>
      <c r="G11" s="112" t="s">
        <v>285</v>
      </c>
      <c r="H11" s="114">
        <v>4.134201001E9</v>
      </c>
      <c r="I11" s="114" t="s">
        <v>98</v>
      </c>
      <c r="J11" s="118">
        <v>45624.0</v>
      </c>
      <c r="K11" s="119">
        <v>45597.0</v>
      </c>
      <c r="L11" s="114" t="s">
        <v>366</v>
      </c>
      <c r="M11" s="120"/>
      <c r="N11" s="120"/>
      <c r="O11" s="121" t="s">
        <v>368</v>
      </c>
      <c r="P11" s="114" t="s">
        <v>294</v>
      </c>
      <c r="Q11" s="122" t="s">
        <v>296</v>
      </c>
      <c r="R11" s="122" t="s">
        <v>369</v>
      </c>
      <c r="S11" s="116" t="s">
        <v>303</v>
      </c>
      <c r="T11" s="2"/>
      <c r="U11" s="2"/>
      <c r="V11" s="2"/>
      <c r="W11" s="2"/>
      <c r="X11" s="2"/>
      <c r="Y11" s="2"/>
      <c r="Z11" s="2"/>
      <c r="AA11" s="2"/>
    </row>
    <row r="12" ht="33.75" customHeight="1">
      <c r="A12" s="112" t="s">
        <v>278</v>
      </c>
      <c r="B12" s="112" t="s">
        <v>112</v>
      </c>
      <c r="C12" s="114" t="s">
        <v>280</v>
      </c>
      <c r="D12" s="112" t="s">
        <v>35</v>
      </c>
      <c r="E12" s="115" t="s">
        <v>282</v>
      </c>
      <c r="F12" s="116" t="s">
        <v>283</v>
      </c>
      <c r="G12" s="112" t="s">
        <v>285</v>
      </c>
      <c r="H12" s="114">
        <v>4.139201001E9</v>
      </c>
      <c r="I12" s="114" t="s">
        <v>107</v>
      </c>
      <c r="J12" s="118">
        <v>45624.0</v>
      </c>
      <c r="K12" s="119">
        <v>45597.0</v>
      </c>
      <c r="L12" s="114" t="s">
        <v>386</v>
      </c>
      <c r="M12" s="120"/>
      <c r="N12" s="120"/>
      <c r="O12" s="121" t="s">
        <v>389</v>
      </c>
      <c r="P12" s="114" t="s">
        <v>294</v>
      </c>
      <c r="Q12" s="122" t="s">
        <v>296</v>
      </c>
      <c r="R12" s="122" t="s">
        <v>391</v>
      </c>
      <c r="S12" s="116" t="s">
        <v>303</v>
      </c>
      <c r="T12" s="2"/>
      <c r="U12" s="2"/>
      <c r="V12" s="2"/>
      <c r="W12" s="2"/>
      <c r="X12" s="2"/>
      <c r="Y12" s="2"/>
      <c r="Z12" s="2"/>
      <c r="AA12" s="2"/>
    </row>
    <row r="13" ht="33.75" customHeight="1">
      <c r="A13" s="112" t="s">
        <v>278</v>
      </c>
      <c r="B13" s="112" t="s">
        <v>112</v>
      </c>
      <c r="C13" s="114" t="s">
        <v>280</v>
      </c>
      <c r="D13" s="112" t="s">
        <v>35</v>
      </c>
      <c r="E13" s="115" t="s">
        <v>282</v>
      </c>
      <c r="F13" s="116" t="s">
        <v>283</v>
      </c>
      <c r="G13" s="112" t="s">
        <v>285</v>
      </c>
      <c r="H13" s="114">
        <v>4.123101001E9</v>
      </c>
      <c r="I13" s="114" t="s">
        <v>124</v>
      </c>
      <c r="J13" s="118">
        <v>45624.0</v>
      </c>
      <c r="K13" s="119">
        <v>45629.0</v>
      </c>
      <c r="L13" s="114" t="s">
        <v>396</v>
      </c>
      <c r="M13" s="120"/>
      <c r="N13" s="120"/>
      <c r="O13" s="121" t="s">
        <v>399</v>
      </c>
      <c r="P13" s="114" t="s">
        <v>294</v>
      </c>
      <c r="Q13" s="122" t="s">
        <v>296</v>
      </c>
      <c r="R13" s="122" t="s">
        <v>402</v>
      </c>
      <c r="S13" s="116" t="s">
        <v>303</v>
      </c>
      <c r="T13" s="2"/>
      <c r="U13" s="2"/>
      <c r="V13" s="2"/>
      <c r="W13" s="2"/>
      <c r="X13" s="2"/>
      <c r="Y13" s="2"/>
      <c r="Z13" s="2"/>
      <c r="AA13" s="2"/>
    </row>
    <row r="14" ht="33.75" customHeight="1">
      <c r="A14" s="112" t="s">
        <v>278</v>
      </c>
      <c r="B14" s="112" t="s">
        <v>112</v>
      </c>
      <c r="C14" s="114" t="s">
        <v>280</v>
      </c>
      <c r="D14" s="112" t="s">
        <v>35</v>
      </c>
      <c r="E14" s="115" t="s">
        <v>282</v>
      </c>
      <c r="F14" s="116" t="s">
        <v>283</v>
      </c>
      <c r="G14" s="112" t="s">
        <v>285</v>
      </c>
      <c r="H14" s="114">
        <v>1.29900001E9</v>
      </c>
      <c r="I14" s="114" t="s">
        <v>187</v>
      </c>
      <c r="J14" s="118">
        <v>45624.0</v>
      </c>
      <c r="K14" s="118">
        <v>45623.0</v>
      </c>
      <c r="L14" s="114" t="s">
        <v>405</v>
      </c>
      <c r="M14" s="118">
        <v>45644.0</v>
      </c>
      <c r="N14" s="114" t="s">
        <v>409</v>
      </c>
      <c r="O14" s="121" t="s">
        <v>410</v>
      </c>
      <c r="P14" s="114" t="s">
        <v>411</v>
      </c>
      <c r="Q14" s="122" t="s">
        <v>296</v>
      </c>
      <c r="R14" s="122" t="s">
        <v>413</v>
      </c>
      <c r="S14" s="116" t="s">
        <v>303</v>
      </c>
      <c r="T14" s="2"/>
      <c r="U14" s="2"/>
      <c r="V14" s="2"/>
      <c r="W14" s="2"/>
      <c r="X14" s="2"/>
      <c r="Y14" s="2"/>
      <c r="Z14" s="2"/>
      <c r="AA14" s="2"/>
    </row>
    <row r="15" ht="33.75" customHeight="1">
      <c r="A15" s="112" t="s">
        <v>278</v>
      </c>
      <c r="B15" s="112" t="s">
        <v>112</v>
      </c>
      <c r="C15" s="114" t="s">
        <v>280</v>
      </c>
      <c r="D15" s="112" t="s">
        <v>35</v>
      </c>
      <c r="E15" s="115" t="s">
        <v>282</v>
      </c>
      <c r="F15" s="116" t="s">
        <v>283</v>
      </c>
      <c r="G15" s="112" t="s">
        <v>285</v>
      </c>
      <c r="H15" s="114">
        <v>4.139601001E9</v>
      </c>
      <c r="I15" s="114" t="s">
        <v>90</v>
      </c>
      <c r="J15" s="118">
        <v>45624.0</v>
      </c>
      <c r="K15" s="119">
        <v>45670.0</v>
      </c>
      <c r="L15" s="114" t="s">
        <v>419</v>
      </c>
      <c r="M15" s="120"/>
      <c r="N15" s="120"/>
      <c r="O15" s="121" t="s">
        <v>421</v>
      </c>
      <c r="P15" s="114" t="s">
        <v>294</v>
      </c>
      <c r="Q15" s="122" t="s">
        <v>296</v>
      </c>
      <c r="R15" s="122" t="s">
        <v>425</v>
      </c>
      <c r="S15" s="116" t="s">
        <v>303</v>
      </c>
      <c r="T15" s="2"/>
      <c r="U15" s="2"/>
      <c r="V15" s="2"/>
      <c r="W15" s="2"/>
      <c r="X15" s="2"/>
      <c r="Y15" s="2"/>
      <c r="Z15" s="2"/>
      <c r="AA15" s="2"/>
    </row>
    <row r="16" ht="33.75" customHeight="1">
      <c r="A16" s="112" t="s">
        <v>278</v>
      </c>
      <c r="B16" s="112" t="s">
        <v>112</v>
      </c>
      <c r="C16" s="114" t="s">
        <v>280</v>
      </c>
      <c r="D16" s="112" t="s">
        <v>35</v>
      </c>
      <c r="E16" s="115" t="s">
        <v>282</v>
      </c>
      <c r="F16" s="116" t="s">
        <v>283</v>
      </c>
      <c r="G16" s="112" t="s">
        <v>285</v>
      </c>
      <c r="H16" s="114">
        <v>1.206000001E9</v>
      </c>
      <c r="I16" s="114" t="s">
        <v>168</v>
      </c>
      <c r="J16" s="118">
        <v>45624.0</v>
      </c>
      <c r="K16" s="119">
        <v>45670.0</v>
      </c>
      <c r="L16" s="114" t="s">
        <v>435</v>
      </c>
      <c r="M16" s="120"/>
      <c r="N16" s="120"/>
      <c r="O16" s="121" t="s">
        <v>437</v>
      </c>
      <c r="P16" s="114" t="s">
        <v>294</v>
      </c>
      <c r="Q16" s="122" t="s">
        <v>296</v>
      </c>
      <c r="R16" s="122" t="s">
        <v>439</v>
      </c>
      <c r="S16" s="116" t="s">
        <v>303</v>
      </c>
      <c r="T16" s="2"/>
      <c r="U16" s="2"/>
      <c r="V16" s="2"/>
      <c r="W16" s="2"/>
      <c r="X16" s="2"/>
      <c r="Y16" s="2"/>
      <c r="Z16" s="2"/>
      <c r="AA16" s="2"/>
    </row>
    <row r="17" ht="33.75" hidden="1" customHeight="1">
      <c r="A17" s="112" t="s">
        <v>278</v>
      </c>
      <c r="B17" s="112" t="s">
        <v>112</v>
      </c>
      <c r="C17" s="114" t="s">
        <v>443</v>
      </c>
      <c r="D17" s="112" t="s">
        <v>35</v>
      </c>
      <c r="E17" s="115" t="s">
        <v>444</v>
      </c>
      <c r="F17" s="116" t="s">
        <v>445</v>
      </c>
      <c r="G17" s="112" t="s">
        <v>285</v>
      </c>
      <c r="H17" s="114">
        <v>4.079001001E9</v>
      </c>
      <c r="I17" s="114" t="s">
        <v>37</v>
      </c>
      <c r="J17" s="118">
        <v>45643.0</v>
      </c>
      <c r="K17" s="118">
        <v>45646.0</v>
      </c>
      <c r="L17" s="114" t="s">
        <v>447</v>
      </c>
      <c r="M17" s="120"/>
      <c r="N17" s="120"/>
      <c r="O17" s="121" t="s">
        <v>449</v>
      </c>
      <c r="P17" s="114" t="s">
        <v>294</v>
      </c>
      <c r="Q17" s="122" t="s">
        <v>450</v>
      </c>
      <c r="R17" s="122" t="s">
        <v>453</v>
      </c>
      <c r="S17" s="116" t="s">
        <v>303</v>
      </c>
      <c r="T17" s="129"/>
      <c r="U17" s="129"/>
      <c r="V17" s="129"/>
      <c r="W17" s="129"/>
      <c r="X17" s="129"/>
      <c r="Y17" s="129"/>
      <c r="Z17" s="129"/>
      <c r="AA17" s="129"/>
    </row>
    <row r="18" ht="33.75" hidden="1" customHeight="1">
      <c r="A18" s="112" t="s">
        <v>278</v>
      </c>
      <c r="B18" s="112" t="s">
        <v>112</v>
      </c>
      <c r="C18" s="114" t="s">
        <v>458</v>
      </c>
      <c r="D18" s="112" t="s">
        <v>35</v>
      </c>
      <c r="E18" s="115" t="s">
        <v>461</v>
      </c>
      <c r="F18" s="116" t="s">
        <v>445</v>
      </c>
      <c r="G18" s="112" t="s">
        <v>285</v>
      </c>
      <c r="H18" s="114">
        <v>4.139201001E9</v>
      </c>
      <c r="I18" s="114" t="s">
        <v>107</v>
      </c>
      <c r="J18" s="119">
        <v>45663.0</v>
      </c>
      <c r="K18" s="120"/>
      <c r="L18" s="114" t="s">
        <v>463</v>
      </c>
      <c r="M18" s="120"/>
      <c r="N18" s="120"/>
      <c r="O18" s="121" t="s">
        <v>465</v>
      </c>
      <c r="P18" s="114" t="s">
        <v>294</v>
      </c>
      <c r="Q18" s="114" t="s">
        <v>294</v>
      </c>
      <c r="R18" s="120"/>
      <c r="S18" s="116" t="s">
        <v>303</v>
      </c>
      <c r="T18" s="129"/>
      <c r="U18" s="129"/>
      <c r="V18" s="129"/>
      <c r="W18" s="129"/>
      <c r="X18" s="129"/>
      <c r="Y18" s="129"/>
      <c r="Z18" s="129"/>
      <c r="AA18" s="129"/>
    </row>
    <row r="19" ht="33.75" hidden="1" customHeight="1">
      <c r="A19" s="112" t="s">
        <v>278</v>
      </c>
      <c r="B19" s="112" t="s">
        <v>112</v>
      </c>
      <c r="C19" s="114" t="s">
        <v>467</v>
      </c>
      <c r="D19" s="112" t="s">
        <v>35</v>
      </c>
      <c r="E19" s="115" t="s">
        <v>468</v>
      </c>
      <c r="F19" s="116" t="s">
        <v>445</v>
      </c>
      <c r="G19" s="112" t="s">
        <v>285</v>
      </c>
      <c r="H19" s="114">
        <v>1.206000001E9</v>
      </c>
      <c r="I19" s="114" t="s">
        <v>168</v>
      </c>
      <c r="J19" s="119">
        <v>45338.0</v>
      </c>
      <c r="K19" s="119">
        <v>45405.0</v>
      </c>
      <c r="L19" s="114" t="s">
        <v>471</v>
      </c>
      <c r="M19" s="119">
        <v>45404.0</v>
      </c>
      <c r="N19" s="114" t="s">
        <v>472</v>
      </c>
      <c r="O19" s="121" t="s">
        <v>473</v>
      </c>
      <c r="P19" s="114" t="s">
        <v>474</v>
      </c>
      <c r="Q19" s="122" t="s">
        <v>475</v>
      </c>
      <c r="R19" s="122" t="s">
        <v>476</v>
      </c>
      <c r="S19" s="116" t="s">
        <v>303</v>
      </c>
      <c r="T19" s="129"/>
      <c r="U19" s="129"/>
      <c r="V19" s="129"/>
      <c r="W19" s="129"/>
      <c r="X19" s="129"/>
      <c r="Y19" s="129"/>
      <c r="Z19" s="129"/>
      <c r="AA19" s="129"/>
    </row>
    <row r="20" ht="33.75" hidden="1" customHeight="1">
      <c r="A20" s="112" t="s">
        <v>278</v>
      </c>
      <c r="B20" s="112" t="s">
        <v>112</v>
      </c>
      <c r="C20" s="114" t="s">
        <v>467</v>
      </c>
      <c r="D20" s="112" t="s">
        <v>35</v>
      </c>
      <c r="E20" s="115" t="s">
        <v>468</v>
      </c>
      <c r="F20" s="116" t="s">
        <v>445</v>
      </c>
      <c r="G20" s="112" t="s">
        <v>285</v>
      </c>
      <c r="H20" s="114">
        <v>1.29900001E9</v>
      </c>
      <c r="I20" s="114" t="s">
        <v>187</v>
      </c>
      <c r="J20" s="119">
        <v>45338.0</v>
      </c>
      <c r="K20" s="119">
        <v>45346.0</v>
      </c>
      <c r="L20" s="114" t="s">
        <v>486</v>
      </c>
      <c r="M20" s="120"/>
      <c r="N20" s="120"/>
      <c r="O20" s="121" t="s">
        <v>489</v>
      </c>
      <c r="P20" s="114" t="s">
        <v>294</v>
      </c>
      <c r="Q20" s="122" t="s">
        <v>475</v>
      </c>
      <c r="R20" s="122" t="s">
        <v>476</v>
      </c>
      <c r="S20" s="116" t="s">
        <v>303</v>
      </c>
      <c r="T20" s="129"/>
      <c r="U20" s="129"/>
      <c r="V20" s="129"/>
      <c r="W20" s="129"/>
      <c r="X20" s="129"/>
      <c r="Y20" s="129"/>
      <c r="Z20" s="129"/>
      <c r="AA20" s="129"/>
    </row>
    <row r="21" ht="33.75" hidden="1" customHeight="1">
      <c r="A21" s="112" t="s">
        <v>278</v>
      </c>
      <c r="B21" s="112" t="s">
        <v>112</v>
      </c>
      <c r="C21" s="114" t="s">
        <v>467</v>
      </c>
      <c r="D21" s="112" t="s">
        <v>35</v>
      </c>
      <c r="E21" s="115" t="s">
        <v>468</v>
      </c>
      <c r="F21" s="116" t="s">
        <v>445</v>
      </c>
      <c r="G21" s="112" t="s">
        <v>285</v>
      </c>
      <c r="H21" s="114">
        <v>4.139201001E9</v>
      </c>
      <c r="I21" s="114" t="s">
        <v>107</v>
      </c>
      <c r="J21" s="119">
        <v>45338.0</v>
      </c>
      <c r="K21" s="119">
        <v>45352.0</v>
      </c>
      <c r="L21" s="114" t="s">
        <v>496</v>
      </c>
      <c r="M21" s="120"/>
      <c r="N21" s="120"/>
      <c r="O21" s="121" t="s">
        <v>498</v>
      </c>
      <c r="P21" s="114" t="s">
        <v>294</v>
      </c>
      <c r="Q21" s="122" t="s">
        <v>475</v>
      </c>
      <c r="R21" s="122" t="s">
        <v>476</v>
      </c>
      <c r="S21" s="116" t="s">
        <v>303</v>
      </c>
      <c r="T21" s="129"/>
      <c r="U21" s="129"/>
      <c r="V21" s="129"/>
      <c r="W21" s="129"/>
      <c r="X21" s="129"/>
      <c r="Y21" s="129"/>
      <c r="Z21" s="129"/>
      <c r="AA21" s="129"/>
    </row>
    <row r="22" ht="33.75" hidden="1" customHeight="1">
      <c r="A22" s="112" t="s">
        <v>278</v>
      </c>
      <c r="B22" s="112" t="s">
        <v>112</v>
      </c>
      <c r="C22" s="114" t="s">
        <v>467</v>
      </c>
      <c r="D22" s="112" t="s">
        <v>35</v>
      </c>
      <c r="E22" s="115" t="s">
        <v>468</v>
      </c>
      <c r="F22" s="116" t="s">
        <v>445</v>
      </c>
      <c r="G22" s="112" t="s">
        <v>285</v>
      </c>
      <c r="H22" s="114">
        <v>4.139201001E9</v>
      </c>
      <c r="I22" s="114" t="s">
        <v>107</v>
      </c>
      <c r="J22" s="119">
        <v>45338.0</v>
      </c>
      <c r="K22" s="119">
        <v>45363.0</v>
      </c>
      <c r="L22" s="114" t="s">
        <v>508</v>
      </c>
      <c r="M22" s="120"/>
      <c r="N22" s="120"/>
      <c r="O22" s="121" t="s">
        <v>509</v>
      </c>
      <c r="P22" s="114" t="s">
        <v>294</v>
      </c>
      <c r="Q22" s="122" t="s">
        <v>475</v>
      </c>
      <c r="R22" s="122" t="s">
        <v>476</v>
      </c>
      <c r="S22" s="116" t="s">
        <v>303</v>
      </c>
      <c r="T22" s="129"/>
      <c r="U22" s="129"/>
      <c r="V22" s="129"/>
      <c r="W22" s="129"/>
      <c r="X22" s="129"/>
      <c r="Y22" s="129"/>
      <c r="Z22" s="129"/>
      <c r="AA22" s="129"/>
    </row>
    <row r="23" ht="33.75" hidden="1" customHeight="1">
      <c r="A23" s="112" t="s">
        <v>278</v>
      </c>
      <c r="B23" s="112" t="s">
        <v>112</v>
      </c>
      <c r="C23" s="114" t="s">
        <v>467</v>
      </c>
      <c r="D23" s="112" t="s">
        <v>35</v>
      </c>
      <c r="E23" s="115" t="s">
        <v>468</v>
      </c>
      <c r="F23" s="116" t="s">
        <v>445</v>
      </c>
      <c r="G23" s="112" t="s">
        <v>517</v>
      </c>
      <c r="H23" s="114">
        <v>4.139601001E9</v>
      </c>
      <c r="I23" s="114" t="s">
        <v>90</v>
      </c>
      <c r="J23" s="119">
        <v>45338.0</v>
      </c>
      <c r="K23" s="119">
        <v>45343.0</v>
      </c>
      <c r="L23" s="114" t="s">
        <v>519</v>
      </c>
      <c r="M23" s="119">
        <v>45470.0</v>
      </c>
      <c r="N23" s="114" t="s">
        <v>520</v>
      </c>
      <c r="O23" s="121" t="s">
        <v>521</v>
      </c>
      <c r="P23" s="114" t="s">
        <v>522</v>
      </c>
      <c r="Q23" s="122" t="s">
        <v>475</v>
      </c>
      <c r="R23" s="122" t="s">
        <v>476</v>
      </c>
      <c r="S23" s="116" t="s">
        <v>303</v>
      </c>
      <c r="T23" s="129"/>
      <c r="U23" s="129"/>
      <c r="V23" s="129"/>
      <c r="W23" s="129"/>
      <c r="X23" s="129"/>
      <c r="Y23" s="129"/>
      <c r="Z23" s="129"/>
      <c r="AA23" s="129"/>
    </row>
    <row r="24" ht="33.75" hidden="1" customHeight="1">
      <c r="A24" s="112" t="s">
        <v>278</v>
      </c>
      <c r="B24" s="112" t="s">
        <v>112</v>
      </c>
      <c r="C24" s="114" t="s">
        <v>467</v>
      </c>
      <c r="D24" s="112" t="s">
        <v>35</v>
      </c>
      <c r="E24" s="115" t="s">
        <v>468</v>
      </c>
      <c r="F24" s="116" t="s">
        <v>445</v>
      </c>
      <c r="G24" s="112" t="s">
        <v>285</v>
      </c>
      <c r="H24" s="114">
        <v>4.123101001E9</v>
      </c>
      <c r="I24" s="114" t="s">
        <v>124</v>
      </c>
      <c r="J24" s="119">
        <v>45338.0</v>
      </c>
      <c r="K24" s="119">
        <v>45349.0</v>
      </c>
      <c r="L24" s="114" t="s">
        <v>527</v>
      </c>
      <c r="M24" s="120"/>
      <c r="N24" s="120"/>
      <c r="O24" s="121" t="s">
        <v>528</v>
      </c>
      <c r="P24" s="114" t="s">
        <v>294</v>
      </c>
      <c r="Q24" s="122" t="s">
        <v>475</v>
      </c>
      <c r="R24" s="122" t="s">
        <v>476</v>
      </c>
      <c r="S24" s="116" t="s">
        <v>303</v>
      </c>
      <c r="T24" s="129"/>
      <c r="U24" s="129"/>
      <c r="V24" s="129"/>
      <c r="W24" s="129"/>
      <c r="X24" s="129"/>
      <c r="Y24" s="129"/>
      <c r="Z24" s="129"/>
      <c r="AA24" s="129"/>
    </row>
    <row r="25" ht="33.75" hidden="1" customHeight="1">
      <c r="A25" s="112" t="s">
        <v>278</v>
      </c>
      <c r="B25" s="112" t="s">
        <v>112</v>
      </c>
      <c r="C25" s="114" t="s">
        <v>443</v>
      </c>
      <c r="D25" s="112" t="s">
        <v>35</v>
      </c>
      <c r="E25" s="115" t="s">
        <v>444</v>
      </c>
      <c r="F25" s="116" t="s">
        <v>445</v>
      </c>
      <c r="G25" s="112" t="s">
        <v>285</v>
      </c>
      <c r="H25" s="114">
        <v>4.079001001E9</v>
      </c>
      <c r="I25" s="114" t="s">
        <v>37</v>
      </c>
      <c r="J25" s="118">
        <v>45643.0</v>
      </c>
      <c r="K25" s="119">
        <v>45352.0</v>
      </c>
      <c r="L25" s="114" t="s">
        <v>447</v>
      </c>
      <c r="M25" s="120"/>
      <c r="N25" s="120"/>
      <c r="O25" s="121" t="s">
        <v>537</v>
      </c>
      <c r="P25" s="114" t="s">
        <v>294</v>
      </c>
      <c r="Q25" s="114" t="s">
        <v>294</v>
      </c>
      <c r="R25" s="120"/>
      <c r="S25" s="116" t="s">
        <v>303</v>
      </c>
      <c r="T25" s="129"/>
      <c r="U25" s="129"/>
      <c r="V25" s="129"/>
      <c r="W25" s="129"/>
      <c r="X25" s="129"/>
      <c r="Y25" s="129"/>
      <c r="Z25" s="129"/>
      <c r="AA25" s="129"/>
    </row>
    <row r="26" ht="33.75" hidden="1" customHeight="1">
      <c r="A26" s="112" t="s">
        <v>278</v>
      </c>
      <c r="B26" s="112" t="s">
        <v>112</v>
      </c>
      <c r="C26" s="114" t="s">
        <v>539</v>
      </c>
      <c r="D26" s="112" t="s">
        <v>35</v>
      </c>
      <c r="E26" s="115" t="s">
        <v>541</v>
      </c>
      <c r="F26" s="116" t="s">
        <v>445</v>
      </c>
      <c r="G26" s="112" t="s">
        <v>285</v>
      </c>
      <c r="H26" s="114">
        <v>4.078101001E9</v>
      </c>
      <c r="I26" s="114" t="s">
        <v>154</v>
      </c>
      <c r="J26" s="119">
        <v>45632.0</v>
      </c>
      <c r="K26" s="119">
        <v>45635.0</v>
      </c>
      <c r="L26" s="114" t="s">
        <v>544</v>
      </c>
      <c r="M26" s="120"/>
      <c r="N26" s="120"/>
      <c r="O26" s="121" t="s">
        <v>545</v>
      </c>
      <c r="P26" s="114" t="s">
        <v>294</v>
      </c>
      <c r="Q26" s="114" t="s">
        <v>294</v>
      </c>
      <c r="R26" s="120"/>
      <c r="S26" s="116" t="s">
        <v>303</v>
      </c>
      <c r="T26" s="129"/>
      <c r="U26" s="129"/>
      <c r="V26" s="129"/>
      <c r="W26" s="129"/>
      <c r="X26" s="129"/>
      <c r="Y26" s="129"/>
      <c r="Z26" s="129"/>
      <c r="AA26" s="129"/>
    </row>
    <row r="27" ht="33.75" hidden="1" customHeight="1">
      <c r="A27" s="112" t="s">
        <v>278</v>
      </c>
      <c r="B27" s="112" t="s">
        <v>112</v>
      </c>
      <c r="C27" s="114" t="s">
        <v>549</v>
      </c>
      <c r="D27" s="112" t="s">
        <v>35</v>
      </c>
      <c r="E27" s="115" t="s">
        <v>551</v>
      </c>
      <c r="F27" s="116" t="s">
        <v>445</v>
      </c>
      <c r="G27" s="112" t="s">
        <v>285</v>
      </c>
      <c r="H27" s="114">
        <v>4.139301001E9</v>
      </c>
      <c r="I27" s="114" t="s">
        <v>140</v>
      </c>
      <c r="J27" s="118">
        <v>45610.0</v>
      </c>
      <c r="K27" s="118">
        <v>45615.0</v>
      </c>
      <c r="L27" s="114" t="s">
        <v>554</v>
      </c>
      <c r="M27" s="120"/>
      <c r="N27" s="120"/>
      <c r="O27" s="121" t="s">
        <v>555</v>
      </c>
      <c r="P27" s="114" t="s">
        <v>294</v>
      </c>
      <c r="Q27" s="114" t="s">
        <v>294</v>
      </c>
      <c r="R27" s="120"/>
      <c r="S27" s="116" t="s">
        <v>303</v>
      </c>
      <c r="T27" s="129"/>
      <c r="U27" s="129"/>
      <c r="V27" s="129"/>
      <c r="W27" s="129"/>
      <c r="X27" s="129"/>
      <c r="Y27" s="129"/>
      <c r="Z27" s="129"/>
      <c r="AA27" s="129"/>
    </row>
    <row r="28" ht="33.75" hidden="1" customHeight="1">
      <c r="A28" s="112" t="s">
        <v>278</v>
      </c>
      <c r="B28" s="112" t="s">
        <v>112</v>
      </c>
      <c r="C28" s="114" t="s">
        <v>558</v>
      </c>
      <c r="D28" s="112" t="s">
        <v>35</v>
      </c>
      <c r="E28" s="115" t="s">
        <v>560</v>
      </c>
      <c r="F28" s="116" t="s">
        <v>445</v>
      </c>
      <c r="G28" s="112" t="s">
        <v>285</v>
      </c>
      <c r="H28" s="114">
        <v>4.139601001E9</v>
      </c>
      <c r="I28" s="114" t="s">
        <v>90</v>
      </c>
      <c r="J28" s="118">
        <v>45593.0</v>
      </c>
      <c r="K28" s="118">
        <v>45594.0</v>
      </c>
      <c r="L28" s="114" t="s">
        <v>563</v>
      </c>
      <c r="M28" s="120"/>
      <c r="N28" s="120"/>
      <c r="O28" s="121" t="s">
        <v>564</v>
      </c>
      <c r="P28" s="114" t="s">
        <v>294</v>
      </c>
      <c r="Q28" s="114" t="s">
        <v>294</v>
      </c>
      <c r="R28" s="120"/>
      <c r="S28" s="116" t="s">
        <v>303</v>
      </c>
      <c r="T28" s="129"/>
      <c r="U28" s="129"/>
      <c r="V28" s="129"/>
      <c r="W28" s="129"/>
      <c r="X28" s="129"/>
      <c r="Y28" s="129"/>
      <c r="Z28" s="129"/>
      <c r="AA28" s="129"/>
    </row>
    <row r="29" ht="33.75" hidden="1" customHeight="1">
      <c r="A29" s="112" t="s">
        <v>278</v>
      </c>
      <c r="B29" s="112" t="s">
        <v>112</v>
      </c>
      <c r="C29" s="114" t="s">
        <v>558</v>
      </c>
      <c r="D29" s="112" t="s">
        <v>35</v>
      </c>
      <c r="E29" s="115" t="s">
        <v>560</v>
      </c>
      <c r="F29" s="116" t="s">
        <v>445</v>
      </c>
      <c r="G29" s="112" t="s">
        <v>285</v>
      </c>
      <c r="H29" s="114">
        <v>4.079001001E9</v>
      </c>
      <c r="I29" s="114" t="s">
        <v>37</v>
      </c>
      <c r="J29" s="118">
        <v>45593.0</v>
      </c>
      <c r="K29" s="118">
        <v>45594.0</v>
      </c>
      <c r="L29" s="114" t="s">
        <v>571</v>
      </c>
      <c r="M29" s="120"/>
      <c r="N29" s="120"/>
      <c r="O29" s="121" t="s">
        <v>572</v>
      </c>
      <c r="P29" s="114" t="s">
        <v>294</v>
      </c>
      <c r="Q29" s="114" t="s">
        <v>294</v>
      </c>
      <c r="R29" s="120"/>
      <c r="S29" s="116" t="s">
        <v>303</v>
      </c>
      <c r="T29" s="129"/>
      <c r="U29" s="129"/>
      <c r="V29" s="129"/>
      <c r="W29" s="129"/>
      <c r="X29" s="129"/>
      <c r="Y29" s="129"/>
      <c r="Z29" s="129"/>
      <c r="AA29" s="129"/>
    </row>
    <row r="30" ht="33.75" hidden="1" customHeight="1">
      <c r="A30" s="112" t="s">
        <v>278</v>
      </c>
      <c r="B30" s="112" t="s">
        <v>112</v>
      </c>
      <c r="C30" s="114" t="s">
        <v>576</v>
      </c>
      <c r="D30" s="112" t="s">
        <v>35</v>
      </c>
      <c r="E30" s="115" t="s">
        <v>577</v>
      </c>
      <c r="F30" s="116" t="s">
        <v>445</v>
      </c>
      <c r="G30" s="112" t="s">
        <v>285</v>
      </c>
      <c r="H30" s="114">
        <v>4.123101001E9</v>
      </c>
      <c r="I30" s="114" t="s">
        <v>124</v>
      </c>
      <c r="J30" s="118">
        <v>45575.0</v>
      </c>
      <c r="K30" s="118">
        <v>45575.0</v>
      </c>
      <c r="L30" s="114" t="s">
        <v>578</v>
      </c>
      <c r="M30" s="120"/>
      <c r="N30" s="120"/>
      <c r="O30" s="121" t="s">
        <v>579</v>
      </c>
      <c r="P30" s="114" t="s">
        <v>294</v>
      </c>
      <c r="Q30" s="114" t="s">
        <v>294</v>
      </c>
      <c r="R30" s="120"/>
      <c r="S30" s="116" t="s">
        <v>303</v>
      </c>
      <c r="T30" s="129"/>
      <c r="U30" s="129"/>
      <c r="V30" s="129"/>
      <c r="W30" s="129"/>
      <c r="X30" s="129"/>
      <c r="Y30" s="129"/>
      <c r="Z30" s="129"/>
      <c r="AA30" s="129"/>
    </row>
    <row r="31" ht="33.75" customHeight="1">
      <c r="A31" s="112" t="s">
        <v>278</v>
      </c>
      <c r="B31" s="112" t="s">
        <v>112</v>
      </c>
      <c r="C31" s="114" t="s">
        <v>583</v>
      </c>
      <c r="D31" s="112" t="s">
        <v>35</v>
      </c>
      <c r="E31" s="115" t="s">
        <v>586</v>
      </c>
      <c r="F31" s="116" t="s">
        <v>283</v>
      </c>
      <c r="G31" s="112" t="s">
        <v>285</v>
      </c>
      <c r="H31" s="114">
        <v>4.139301001E9</v>
      </c>
      <c r="I31" s="114" t="s">
        <v>140</v>
      </c>
      <c r="J31" s="118">
        <v>45575.0</v>
      </c>
      <c r="K31" s="119">
        <v>45574.0</v>
      </c>
      <c r="L31" s="114" t="s">
        <v>591</v>
      </c>
      <c r="M31" s="120"/>
      <c r="N31" s="120"/>
      <c r="O31" s="121" t="s">
        <v>593</v>
      </c>
      <c r="P31" s="114" t="s">
        <v>294</v>
      </c>
      <c r="Q31" s="122" t="s">
        <v>595</v>
      </c>
      <c r="R31" s="122" t="s">
        <v>596</v>
      </c>
      <c r="S31" s="116" t="s">
        <v>303</v>
      </c>
      <c r="T31" s="2"/>
      <c r="U31" s="2"/>
      <c r="V31" s="2"/>
      <c r="W31" s="2"/>
      <c r="X31" s="2"/>
      <c r="Y31" s="2"/>
      <c r="Z31" s="2"/>
      <c r="AA31" s="2"/>
    </row>
    <row r="32" ht="33.75" customHeight="1">
      <c r="A32" s="112" t="s">
        <v>278</v>
      </c>
      <c r="B32" s="112" t="s">
        <v>112</v>
      </c>
      <c r="C32" s="114" t="s">
        <v>583</v>
      </c>
      <c r="D32" s="112" t="s">
        <v>35</v>
      </c>
      <c r="E32" s="115" t="s">
        <v>586</v>
      </c>
      <c r="F32" s="116" t="s">
        <v>283</v>
      </c>
      <c r="G32" s="112" t="s">
        <v>285</v>
      </c>
      <c r="H32" s="114">
        <v>4.078101001E9</v>
      </c>
      <c r="I32" s="114" t="s">
        <v>154</v>
      </c>
      <c r="J32" s="118">
        <v>45575.0</v>
      </c>
      <c r="K32" s="118">
        <v>45595.0</v>
      </c>
      <c r="L32" s="114" t="s">
        <v>603</v>
      </c>
      <c r="M32" s="120"/>
      <c r="N32" s="120"/>
      <c r="O32" s="121" t="s">
        <v>604</v>
      </c>
      <c r="P32" s="114" t="s">
        <v>294</v>
      </c>
      <c r="Q32" s="122" t="s">
        <v>595</v>
      </c>
      <c r="R32" s="122" t="s">
        <v>596</v>
      </c>
      <c r="S32" s="116" t="s">
        <v>303</v>
      </c>
      <c r="T32" s="2"/>
      <c r="U32" s="2"/>
      <c r="V32" s="2"/>
      <c r="W32" s="2"/>
      <c r="X32" s="2"/>
      <c r="Y32" s="2"/>
      <c r="Z32" s="2"/>
      <c r="AA32" s="2"/>
    </row>
    <row r="33" ht="33.75" customHeight="1">
      <c r="A33" s="112" t="s">
        <v>278</v>
      </c>
      <c r="B33" s="112" t="s">
        <v>112</v>
      </c>
      <c r="C33" s="114" t="s">
        <v>583</v>
      </c>
      <c r="D33" s="112" t="s">
        <v>35</v>
      </c>
      <c r="E33" s="115" t="s">
        <v>586</v>
      </c>
      <c r="F33" s="116" t="s">
        <v>283</v>
      </c>
      <c r="G33" s="112" t="s">
        <v>285</v>
      </c>
      <c r="H33" s="114">
        <v>4.631501001E9</v>
      </c>
      <c r="I33" s="136" t="s">
        <v>610</v>
      </c>
      <c r="J33" s="118">
        <v>45575.0</v>
      </c>
      <c r="K33" s="118">
        <v>45596.0</v>
      </c>
      <c r="L33" s="114" t="s">
        <v>614</v>
      </c>
      <c r="M33" s="120"/>
      <c r="N33" s="120"/>
      <c r="O33" s="121" t="s">
        <v>619</v>
      </c>
      <c r="P33" s="114" t="s">
        <v>294</v>
      </c>
      <c r="Q33" s="122" t="s">
        <v>595</v>
      </c>
      <c r="R33" s="122" t="s">
        <v>596</v>
      </c>
      <c r="S33" s="116" t="s">
        <v>303</v>
      </c>
      <c r="T33" s="2"/>
      <c r="U33" s="2"/>
      <c r="V33" s="2"/>
      <c r="W33" s="2"/>
      <c r="X33" s="2"/>
      <c r="Y33" s="2"/>
      <c r="Z33" s="2"/>
      <c r="AA33" s="2"/>
    </row>
    <row r="34" ht="33.75" hidden="1" customHeight="1">
      <c r="A34" s="112" t="s">
        <v>278</v>
      </c>
      <c r="B34" s="112" t="s">
        <v>112</v>
      </c>
      <c r="C34" s="114" t="s">
        <v>624</v>
      </c>
      <c r="D34" s="112" t="s">
        <v>35</v>
      </c>
      <c r="E34" s="115" t="s">
        <v>626</v>
      </c>
      <c r="F34" s="116" t="s">
        <v>445</v>
      </c>
      <c r="G34" s="112" t="s">
        <v>517</v>
      </c>
      <c r="H34" s="114">
        <v>4.139601001E9</v>
      </c>
      <c r="I34" s="114" t="s">
        <v>90</v>
      </c>
      <c r="J34" s="119">
        <v>45561.0</v>
      </c>
      <c r="K34" s="119">
        <v>45566.0</v>
      </c>
      <c r="L34" s="114" t="s">
        <v>627</v>
      </c>
      <c r="M34" s="120"/>
      <c r="N34" s="120"/>
      <c r="O34" s="121" t="s">
        <v>630</v>
      </c>
      <c r="P34" s="114" t="s">
        <v>294</v>
      </c>
      <c r="Q34" s="114" t="s">
        <v>294</v>
      </c>
      <c r="R34" s="120"/>
      <c r="S34" s="116" t="s">
        <v>303</v>
      </c>
      <c r="T34" s="129"/>
      <c r="U34" s="129"/>
      <c r="V34" s="129"/>
      <c r="W34" s="129"/>
      <c r="X34" s="129"/>
      <c r="Y34" s="129"/>
      <c r="Z34" s="129"/>
      <c r="AA34" s="129"/>
    </row>
    <row r="35" ht="33.75" hidden="1" customHeight="1">
      <c r="A35" s="112" t="s">
        <v>278</v>
      </c>
      <c r="B35" s="112" t="s">
        <v>112</v>
      </c>
      <c r="C35" s="114" t="s">
        <v>633</v>
      </c>
      <c r="D35" s="112" t="s">
        <v>35</v>
      </c>
      <c r="E35" s="115" t="s">
        <v>636</v>
      </c>
      <c r="F35" s="116" t="s">
        <v>445</v>
      </c>
      <c r="G35" s="112" t="s">
        <v>285</v>
      </c>
      <c r="H35" s="114">
        <v>1.299000006E9</v>
      </c>
      <c r="I35" s="114" t="s">
        <v>177</v>
      </c>
      <c r="J35" s="118">
        <v>45653.0</v>
      </c>
      <c r="K35" s="119">
        <v>45672.0</v>
      </c>
      <c r="L35" s="114" t="s">
        <v>638</v>
      </c>
      <c r="M35" s="119">
        <v>45714.0</v>
      </c>
      <c r="N35" s="114" t="s">
        <v>639</v>
      </c>
      <c r="O35" s="121" t="s">
        <v>640</v>
      </c>
      <c r="P35" s="114" t="s">
        <v>641</v>
      </c>
      <c r="Q35" s="122" t="s">
        <v>642</v>
      </c>
      <c r="R35" s="122" t="s">
        <v>645</v>
      </c>
      <c r="S35" s="116" t="s">
        <v>303</v>
      </c>
      <c r="T35" s="129"/>
      <c r="U35" s="129"/>
      <c r="V35" s="129"/>
      <c r="W35" s="129"/>
      <c r="X35" s="129"/>
      <c r="Y35" s="129"/>
      <c r="Z35" s="129"/>
      <c r="AA35" s="129"/>
    </row>
    <row r="36" ht="33.75" hidden="1" customHeight="1">
      <c r="A36" s="112" t="s">
        <v>278</v>
      </c>
      <c r="B36" s="112" t="s">
        <v>112</v>
      </c>
      <c r="C36" s="114" t="s">
        <v>648</v>
      </c>
      <c r="D36" s="112" t="s">
        <v>35</v>
      </c>
      <c r="E36" s="115" t="s">
        <v>649</v>
      </c>
      <c r="F36" s="116" t="s">
        <v>445</v>
      </c>
      <c r="G36" s="112" t="s">
        <v>285</v>
      </c>
      <c r="H36" s="114">
        <v>1.29900001E9</v>
      </c>
      <c r="I36" s="114" t="s">
        <v>187</v>
      </c>
      <c r="J36" s="119">
        <v>45561.0</v>
      </c>
      <c r="K36" s="119">
        <v>45568.0</v>
      </c>
      <c r="L36" s="114" t="s">
        <v>650</v>
      </c>
      <c r="M36" s="120"/>
      <c r="N36" s="120"/>
      <c r="O36" s="121" t="s">
        <v>652</v>
      </c>
      <c r="P36" s="114" t="s">
        <v>294</v>
      </c>
      <c r="Q36" s="114" t="s">
        <v>294</v>
      </c>
      <c r="R36" s="120"/>
      <c r="S36" s="116" t="s">
        <v>303</v>
      </c>
      <c r="T36" s="129"/>
      <c r="U36" s="129"/>
      <c r="V36" s="129"/>
      <c r="W36" s="129"/>
      <c r="X36" s="129"/>
      <c r="Y36" s="129"/>
      <c r="Z36" s="129"/>
      <c r="AA36" s="129"/>
    </row>
    <row r="37" ht="33.75" hidden="1" customHeight="1">
      <c r="A37" s="112" t="s">
        <v>278</v>
      </c>
      <c r="B37" s="112" t="s">
        <v>112</v>
      </c>
      <c r="C37" s="114" t="s">
        <v>654</v>
      </c>
      <c r="D37" s="112" t="s">
        <v>35</v>
      </c>
      <c r="E37" s="115" t="s">
        <v>655</v>
      </c>
      <c r="F37" s="116" t="s">
        <v>445</v>
      </c>
      <c r="G37" s="112" t="s">
        <v>285</v>
      </c>
      <c r="H37" s="114">
        <v>4.123101001E9</v>
      </c>
      <c r="I37" s="114" t="s">
        <v>124</v>
      </c>
      <c r="J37" s="119">
        <v>45547.0</v>
      </c>
      <c r="K37" s="119">
        <v>45554.0</v>
      </c>
      <c r="L37" s="114" t="s">
        <v>656</v>
      </c>
      <c r="M37" s="120"/>
      <c r="N37" s="120"/>
      <c r="O37" s="121" t="s">
        <v>658</v>
      </c>
      <c r="P37" s="114" t="s">
        <v>294</v>
      </c>
      <c r="Q37" s="114" t="s">
        <v>294</v>
      </c>
      <c r="R37" s="120"/>
      <c r="S37" s="116" t="s">
        <v>303</v>
      </c>
      <c r="T37" s="129"/>
      <c r="U37" s="129"/>
      <c r="V37" s="129"/>
      <c r="W37" s="129"/>
      <c r="X37" s="129"/>
      <c r="Y37" s="129"/>
      <c r="Z37" s="129"/>
      <c r="AA37" s="129"/>
    </row>
    <row r="38" ht="33.75" hidden="1" customHeight="1">
      <c r="A38" s="112" t="s">
        <v>278</v>
      </c>
      <c r="B38" s="112" t="s">
        <v>112</v>
      </c>
      <c r="C38" s="114" t="s">
        <v>659</v>
      </c>
      <c r="D38" s="112" t="s">
        <v>35</v>
      </c>
      <c r="E38" s="115" t="s">
        <v>660</v>
      </c>
      <c r="F38" s="116" t="s">
        <v>445</v>
      </c>
      <c r="G38" s="112" t="s">
        <v>285</v>
      </c>
      <c r="H38" s="114">
        <v>4.139201001E9</v>
      </c>
      <c r="I38" s="114" t="s">
        <v>107</v>
      </c>
      <c r="J38" s="119">
        <v>45541.0</v>
      </c>
      <c r="K38" s="119">
        <v>45547.0</v>
      </c>
      <c r="L38" s="114" t="s">
        <v>661</v>
      </c>
      <c r="M38" s="120"/>
      <c r="N38" s="120"/>
      <c r="O38" s="121" t="s">
        <v>662</v>
      </c>
      <c r="P38" s="114" t="s">
        <v>294</v>
      </c>
      <c r="Q38" s="114" t="s">
        <v>294</v>
      </c>
      <c r="R38" s="120"/>
      <c r="S38" s="116" t="s">
        <v>303</v>
      </c>
      <c r="T38" s="129"/>
      <c r="U38" s="129"/>
      <c r="V38" s="129"/>
      <c r="W38" s="129"/>
      <c r="X38" s="129"/>
      <c r="Y38" s="129"/>
      <c r="Z38" s="129"/>
      <c r="AA38" s="129"/>
    </row>
    <row r="39" ht="33.75" hidden="1" customHeight="1">
      <c r="A39" s="112" t="s">
        <v>278</v>
      </c>
      <c r="B39" s="112" t="s">
        <v>112</v>
      </c>
      <c r="C39" s="114" t="s">
        <v>663</v>
      </c>
      <c r="D39" s="112" t="s">
        <v>35</v>
      </c>
      <c r="E39" s="115" t="s">
        <v>664</v>
      </c>
      <c r="F39" s="116" t="s">
        <v>445</v>
      </c>
      <c r="G39" s="112" t="s">
        <v>285</v>
      </c>
      <c r="H39" s="114">
        <v>1.206000001E9</v>
      </c>
      <c r="I39" s="114" t="s">
        <v>168</v>
      </c>
      <c r="J39" s="119">
        <v>45547.0</v>
      </c>
      <c r="K39" s="119">
        <v>45552.0</v>
      </c>
      <c r="L39" s="114" t="s">
        <v>665</v>
      </c>
      <c r="M39" s="119">
        <v>45556.0</v>
      </c>
      <c r="N39" s="114" t="s">
        <v>666</v>
      </c>
      <c r="O39" s="121" t="s">
        <v>667</v>
      </c>
      <c r="P39" s="114" t="s">
        <v>668</v>
      </c>
      <c r="Q39" s="114" t="s">
        <v>294</v>
      </c>
      <c r="R39" s="120"/>
      <c r="S39" s="116" t="s">
        <v>303</v>
      </c>
      <c r="T39" s="129"/>
      <c r="U39" s="129"/>
      <c r="V39" s="129"/>
      <c r="W39" s="129"/>
      <c r="X39" s="129"/>
      <c r="Y39" s="129"/>
      <c r="Z39" s="129"/>
      <c r="AA39" s="129"/>
    </row>
    <row r="40" ht="33.75" hidden="1" customHeight="1">
      <c r="A40" s="112" t="s">
        <v>278</v>
      </c>
      <c r="B40" s="112" t="s">
        <v>112</v>
      </c>
      <c r="C40" s="114" t="s">
        <v>672</v>
      </c>
      <c r="D40" s="112" t="s">
        <v>35</v>
      </c>
      <c r="E40" s="115" t="s">
        <v>674</v>
      </c>
      <c r="F40" s="116" t="s">
        <v>445</v>
      </c>
      <c r="G40" s="112" t="s">
        <v>285</v>
      </c>
      <c r="H40" s="114">
        <v>4.123101001E9</v>
      </c>
      <c r="I40" s="114" t="s">
        <v>124</v>
      </c>
      <c r="J40" s="119">
        <v>45526.0</v>
      </c>
      <c r="K40" s="119">
        <v>45531.0</v>
      </c>
      <c r="L40" s="114" t="s">
        <v>675</v>
      </c>
      <c r="M40" s="119">
        <v>45555.0</v>
      </c>
      <c r="N40" s="114" t="s">
        <v>676</v>
      </c>
      <c r="O40" s="121" t="s">
        <v>677</v>
      </c>
      <c r="P40" s="114" t="s">
        <v>678</v>
      </c>
      <c r="Q40" s="114" t="s">
        <v>294</v>
      </c>
      <c r="R40" s="120"/>
      <c r="S40" s="116" t="s">
        <v>303</v>
      </c>
      <c r="T40" s="129"/>
      <c r="U40" s="129"/>
      <c r="V40" s="129"/>
      <c r="W40" s="129"/>
      <c r="X40" s="129"/>
      <c r="Y40" s="129"/>
      <c r="Z40" s="129"/>
      <c r="AA40" s="129"/>
    </row>
    <row r="41" ht="33.75" hidden="1" customHeight="1">
      <c r="A41" s="112" t="s">
        <v>278</v>
      </c>
      <c r="B41" s="112" t="s">
        <v>112</v>
      </c>
      <c r="C41" s="114" t="s">
        <v>680</v>
      </c>
      <c r="D41" s="112" t="s">
        <v>35</v>
      </c>
      <c r="E41" s="115" t="s">
        <v>681</v>
      </c>
      <c r="F41" s="116" t="s">
        <v>445</v>
      </c>
      <c r="G41" s="112" t="s">
        <v>285</v>
      </c>
      <c r="H41" s="114">
        <v>4.078101001E9</v>
      </c>
      <c r="I41" s="114" t="s">
        <v>154</v>
      </c>
      <c r="J41" s="119">
        <v>45526.0</v>
      </c>
      <c r="K41" s="119">
        <v>45530.0</v>
      </c>
      <c r="L41" s="114" t="s">
        <v>683</v>
      </c>
      <c r="M41" s="120"/>
      <c r="N41" s="120"/>
      <c r="O41" s="121" t="s">
        <v>684</v>
      </c>
      <c r="P41" s="114" t="s">
        <v>294</v>
      </c>
      <c r="Q41" s="114" t="s">
        <v>294</v>
      </c>
      <c r="R41" s="120"/>
      <c r="S41" s="116" t="s">
        <v>303</v>
      </c>
      <c r="T41" s="129"/>
      <c r="U41" s="129"/>
      <c r="V41" s="129"/>
      <c r="W41" s="129"/>
      <c r="X41" s="129"/>
      <c r="Y41" s="129"/>
      <c r="Z41" s="129"/>
      <c r="AA41" s="129"/>
    </row>
    <row r="42" ht="33.75" hidden="1" customHeight="1">
      <c r="A42" s="112" t="s">
        <v>278</v>
      </c>
      <c r="B42" s="112" t="s">
        <v>112</v>
      </c>
      <c r="C42" s="114" t="s">
        <v>687</v>
      </c>
      <c r="D42" s="112" t="s">
        <v>35</v>
      </c>
      <c r="E42" s="115" t="s">
        <v>688</v>
      </c>
      <c r="F42" s="116" t="s">
        <v>445</v>
      </c>
      <c r="G42" s="112" t="s">
        <v>285</v>
      </c>
      <c r="H42" s="114">
        <v>4.079001001E9</v>
      </c>
      <c r="I42" s="114" t="s">
        <v>37</v>
      </c>
      <c r="J42" s="119">
        <v>45527.0</v>
      </c>
      <c r="K42" s="119">
        <v>45530.0</v>
      </c>
      <c r="L42" s="114" t="s">
        <v>690</v>
      </c>
      <c r="M42" s="120"/>
      <c r="N42" s="120"/>
      <c r="O42" s="121" t="s">
        <v>691</v>
      </c>
      <c r="P42" s="114" t="s">
        <v>294</v>
      </c>
      <c r="Q42" s="114" t="s">
        <v>294</v>
      </c>
      <c r="R42" s="120"/>
      <c r="S42" s="116" t="s">
        <v>303</v>
      </c>
      <c r="T42" s="129"/>
      <c r="U42" s="129"/>
      <c r="V42" s="129"/>
      <c r="W42" s="129"/>
      <c r="X42" s="129"/>
      <c r="Y42" s="129"/>
      <c r="Z42" s="129"/>
      <c r="AA42" s="129"/>
    </row>
    <row r="43" ht="33.75" hidden="1" customHeight="1">
      <c r="A43" s="112" t="s">
        <v>278</v>
      </c>
      <c r="B43" s="112" t="s">
        <v>112</v>
      </c>
      <c r="C43" s="114" t="s">
        <v>695</v>
      </c>
      <c r="D43" s="112" t="s">
        <v>35</v>
      </c>
      <c r="E43" s="115" t="s">
        <v>696</v>
      </c>
      <c r="F43" s="116" t="s">
        <v>445</v>
      </c>
      <c r="G43" s="112" t="s">
        <v>285</v>
      </c>
      <c r="H43" s="114">
        <v>1.206000001E9</v>
      </c>
      <c r="I43" s="114" t="s">
        <v>168</v>
      </c>
      <c r="J43" s="119">
        <v>45503.0</v>
      </c>
      <c r="K43" s="119">
        <v>45504.0</v>
      </c>
      <c r="L43" s="114" t="s">
        <v>697</v>
      </c>
      <c r="M43" s="120"/>
      <c r="N43" s="120"/>
      <c r="O43" s="121" t="s">
        <v>699</v>
      </c>
      <c r="P43" s="114" t="s">
        <v>294</v>
      </c>
      <c r="Q43" s="114" t="s">
        <v>294</v>
      </c>
      <c r="R43" s="120"/>
      <c r="S43" s="116" t="s">
        <v>303</v>
      </c>
      <c r="T43" s="129"/>
      <c r="U43" s="129"/>
      <c r="V43" s="129"/>
      <c r="W43" s="129"/>
      <c r="X43" s="129"/>
      <c r="Y43" s="129"/>
      <c r="Z43" s="129"/>
      <c r="AA43" s="129"/>
    </row>
    <row r="44" ht="33.75" hidden="1" customHeight="1">
      <c r="A44" s="112" t="s">
        <v>278</v>
      </c>
      <c r="B44" s="112" t="s">
        <v>112</v>
      </c>
      <c r="C44" s="114" t="s">
        <v>700</v>
      </c>
      <c r="D44" s="112" t="s">
        <v>35</v>
      </c>
      <c r="E44" s="115" t="s">
        <v>701</v>
      </c>
      <c r="F44" s="116" t="s">
        <v>445</v>
      </c>
      <c r="G44" s="112" t="s">
        <v>517</v>
      </c>
      <c r="H44" s="114">
        <v>4.102101001E9</v>
      </c>
      <c r="I44" s="114" t="s">
        <v>37</v>
      </c>
      <c r="J44" s="119">
        <v>45496.0</v>
      </c>
      <c r="K44" s="119">
        <v>45497.0</v>
      </c>
      <c r="L44" s="114" t="s">
        <v>704</v>
      </c>
      <c r="M44" s="119">
        <v>45526.0</v>
      </c>
      <c r="N44" s="120"/>
      <c r="O44" s="121" t="s">
        <v>705</v>
      </c>
      <c r="P44" s="114" t="s">
        <v>294</v>
      </c>
      <c r="Q44" s="114" t="s">
        <v>294</v>
      </c>
      <c r="R44" s="120"/>
      <c r="S44" s="116" t="s">
        <v>303</v>
      </c>
      <c r="T44" s="129"/>
      <c r="U44" s="129"/>
      <c r="V44" s="129"/>
      <c r="W44" s="129"/>
      <c r="X44" s="129"/>
      <c r="Y44" s="129"/>
      <c r="Z44" s="129"/>
      <c r="AA44" s="129"/>
    </row>
    <row r="45" ht="33.75" customHeight="1">
      <c r="A45" s="112" t="s">
        <v>278</v>
      </c>
      <c r="B45" s="112" t="s">
        <v>112</v>
      </c>
      <c r="C45" s="114" t="s">
        <v>707</v>
      </c>
      <c r="D45" s="112" t="s">
        <v>35</v>
      </c>
      <c r="E45" s="115" t="s">
        <v>708</v>
      </c>
      <c r="F45" s="116" t="s">
        <v>283</v>
      </c>
      <c r="G45" s="112" t="s">
        <v>285</v>
      </c>
      <c r="H45" s="114">
        <v>4.079001001E9</v>
      </c>
      <c r="I45" s="114" t="s">
        <v>37</v>
      </c>
      <c r="J45" s="119">
        <v>45491.0</v>
      </c>
      <c r="K45" s="119">
        <v>45488.0</v>
      </c>
      <c r="L45" s="114" t="s">
        <v>709</v>
      </c>
      <c r="M45" s="120"/>
      <c r="N45" s="120"/>
      <c r="O45" s="121" t="s">
        <v>710</v>
      </c>
      <c r="P45" s="114" t="s">
        <v>294</v>
      </c>
      <c r="Q45" s="122" t="s">
        <v>711</v>
      </c>
      <c r="R45" s="122" t="s">
        <v>713</v>
      </c>
      <c r="S45" s="116" t="s">
        <v>303</v>
      </c>
      <c r="T45" s="2"/>
      <c r="U45" s="2"/>
      <c r="V45" s="2"/>
      <c r="W45" s="2"/>
      <c r="X45" s="2"/>
      <c r="Y45" s="2"/>
      <c r="Z45" s="2"/>
      <c r="AA45" s="2"/>
    </row>
    <row r="46" ht="33.75" customHeight="1">
      <c r="A46" s="112" t="s">
        <v>278</v>
      </c>
      <c r="B46" s="112" t="s">
        <v>112</v>
      </c>
      <c r="C46" s="114" t="s">
        <v>707</v>
      </c>
      <c r="D46" s="112" t="s">
        <v>35</v>
      </c>
      <c r="E46" s="115" t="s">
        <v>708</v>
      </c>
      <c r="F46" s="116" t="s">
        <v>283</v>
      </c>
      <c r="G46" s="112" t="s">
        <v>285</v>
      </c>
      <c r="H46" s="114">
        <v>4.102101001E9</v>
      </c>
      <c r="I46" s="114" t="s">
        <v>37</v>
      </c>
      <c r="J46" s="119">
        <v>45491.0</v>
      </c>
      <c r="K46" s="119">
        <v>45488.0</v>
      </c>
      <c r="L46" s="114" t="s">
        <v>716</v>
      </c>
      <c r="M46" s="120"/>
      <c r="N46" s="120"/>
      <c r="O46" s="121" t="s">
        <v>717</v>
      </c>
      <c r="P46" s="114" t="s">
        <v>294</v>
      </c>
      <c r="Q46" s="122" t="s">
        <v>711</v>
      </c>
      <c r="R46" s="122" t="s">
        <v>713</v>
      </c>
      <c r="S46" s="116" t="s">
        <v>303</v>
      </c>
      <c r="T46" s="2"/>
      <c r="U46" s="2"/>
      <c r="V46" s="2"/>
      <c r="W46" s="2"/>
      <c r="X46" s="2"/>
      <c r="Y46" s="2"/>
      <c r="Z46" s="2"/>
      <c r="AA46" s="2"/>
    </row>
    <row r="47" ht="33.75" customHeight="1">
      <c r="A47" s="112" t="s">
        <v>278</v>
      </c>
      <c r="B47" s="112" t="s">
        <v>112</v>
      </c>
      <c r="C47" s="114" t="s">
        <v>707</v>
      </c>
      <c r="D47" s="112" t="s">
        <v>35</v>
      </c>
      <c r="E47" s="115" t="s">
        <v>708</v>
      </c>
      <c r="F47" s="116" t="s">
        <v>283</v>
      </c>
      <c r="G47" s="112" t="s">
        <v>285</v>
      </c>
      <c r="H47" s="114">
        <v>3.942001001E9</v>
      </c>
      <c r="I47" s="114" t="s">
        <v>70</v>
      </c>
      <c r="J47" s="119">
        <v>45491.0</v>
      </c>
      <c r="K47" s="119">
        <v>45496.0</v>
      </c>
      <c r="L47" s="114" t="s">
        <v>721</v>
      </c>
      <c r="M47" s="119">
        <v>45526.0</v>
      </c>
      <c r="N47" s="114" t="s">
        <v>722</v>
      </c>
      <c r="O47" s="121" t="s">
        <v>723</v>
      </c>
      <c r="P47" s="114" t="s">
        <v>724</v>
      </c>
      <c r="Q47" s="122" t="s">
        <v>711</v>
      </c>
      <c r="R47" s="122" t="s">
        <v>713</v>
      </c>
      <c r="S47" s="116" t="s">
        <v>303</v>
      </c>
      <c r="T47" s="2"/>
      <c r="U47" s="2"/>
      <c r="V47" s="2"/>
      <c r="W47" s="2"/>
      <c r="X47" s="2"/>
      <c r="Y47" s="2"/>
      <c r="Z47" s="2"/>
      <c r="AA47" s="2"/>
    </row>
    <row r="48" ht="33.75" customHeight="1">
      <c r="A48" s="112" t="s">
        <v>278</v>
      </c>
      <c r="B48" s="112" t="s">
        <v>112</v>
      </c>
      <c r="C48" s="114" t="s">
        <v>707</v>
      </c>
      <c r="D48" s="112" t="s">
        <v>35</v>
      </c>
      <c r="E48" s="115" t="s">
        <v>708</v>
      </c>
      <c r="F48" s="116" t="s">
        <v>283</v>
      </c>
      <c r="G48" s="112" t="s">
        <v>285</v>
      </c>
      <c r="H48" s="114">
        <v>1.299000006E9</v>
      </c>
      <c r="I48" s="114" t="s">
        <v>177</v>
      </c>
      <c r="J48" s="119">
        <v>45491.0</v>
      </c>
      <c r="K48" s="119">
        <v>45496.0</v>
      </c>
      <c r="L48" s="114" t="s">
        <v>727</v>
      </c>
      <c r="M48" s="119">
        <v>45526.0</v>
      </c>
      <c r="N48" s="114" t="s">
        <v>729</v>
      </c>
      <c r="O48" s="121" t="s">
        <v>730</v>
      </c>
      <c r="P48" s="114" t="s">
        <v>731</v>
      </c>
      <c r="Q48" s="122" t="s">
        <v>711</v>
      </c>
      <c r="R48" s="122" t="s">
        <v>713</v>
      </c>
      <c r="S48" s="116" t="s">
        <v>303</v>
      </c>
      <c r="T48" s="2"/>
      <c r="U48" s="2"/>
      <c r="V48" s="2"/>
      <c r="W48" s="2"/>
      <c r="X48" s="2"/>
      <c r="Y48" s="2"/>
      <c r="Z48" s="2"/>
      <c r="AA48" s="2"/>
    </row>
    <row r="49" ht="33.75" customHeight="1">
      <c r="A49" s="112" t="s">
        <v>278</v>
      </c>
      <c r="B49" s="112" t="s">
        <v>112</v>
      </c>
      <c r="C49" s="114" t="s">
        <v>707</v>
      </c>
      <c r="D49" s="112" t="s">
        <v>35</v>
      </c>
      <c r="E49" s="115" t="s">
        <v>708</v>
      </c>
      <c r="F49" s="116" t="s">
        <v>283</v>
      </c>
      <c r="G49" s="112" t="s">
        <v>285</v>
      </c>
      <c r="H49" s="114">
        <v>4.123201001E9</v>
      </c>
      <c r="I49" s="114" t="s">
        <v>131</v>
      </c>
      <c r="J49" s="119">
        <v>45491.0</v>
      </c>
      <c r="K49" s="119">
        <v>45491.0</v>
      </c>
      <c r="L49" s="114" t="s">
        <v>733</v>
      </c>
      <c r="M49" s="119">
        <v>45510.0</v>
      </c>
      <c r="N49" s="114" t="s">
        <v>735</v>
      </c>
      <c r="O49" s="121" t="s">
        <v>737</v>
      </c>
      <c r="P49" s="114" t="s">
        <v>738</v>
      </c>
      <c r="Q49" s="122" t="s">
        <v>711</v>
      </c>
      <c r="R49" s="122" t="s">
        <v>713</v>
      </c>
      <c r="S49" s="116" t="s">
        <v>303</v>
      </c>
      <c r="T49" s="2"/>
      <c r="U49" s="2"/>
      <c r="V49" s="2"/>
      <c r="W49" s="2"/>
      <c r="X49" s="2"/>
      <c r="Y49" s="2"/>
      <c r="Z49" s="2"/>
      <c r="AA49" s="2"/>
    </row>
    <row r="50" ht="33.75" customHeight="1">
      <c r="A50" s="112" t="s">
        <v>278</v>
      </c>
      <c r="B50" s="112" t="s">
        <v>112</v>
      </c>
      <c r="C50" s="114" t="s">
        <v>707</v>
      </c>
      <c r="D50" s="112" t="s">
        <v>35</v>
      </c>
      <c r="E50" s="115" t="s">
        <v>708</v>
      </c>
      <c r="F50" s="116" t="s">
        <v>283</v>
      </c>
      <c r="G50" s="112" t="s">
        <v>285</v>
      </c>
      <c r="H50" s="114">
        <v>4.134201001E9</v>
      </c>
      <c r="I50" s="114" t="s">
        <v>98</v>
      </c>
      <c r="J50" s="119">
        <v>45491.0</v>
      </c>
      <c r="K50" s="119">
        <v>45484.0</v>
      </c>
      <c r="L50" s="114" t="s">
        <v>741</v>
      </c>
      <c r="M50" s="119">
        <v>45547.0</v>
      </c>
      <c r="N50" s="114" t="s">
        <v>743</v>
      </c>
      <c r="O50" s="121" t="s">
        <v>744</v>
      </c>
      <c r="P50" s="114" t="s">
        <v>745</v>
      </c>
      <c r="Q50" s="122" t="s">
        <v>711</v>
      </c>
      <c r="R50" s="122" t="s">
        <v>713</v>
      </c>
      <c r="S50" s="116" t="s">
        <v>303</v>
      </c>
      <c r="T50" s="2"/>
      <c r="U50" s="2"/>
      <c r="V50" s="2"/>
      <c r="W50" s="2"/>
      <c r="X50" s="2"/>
      <c r="Y50" s="2"/>
      <c r="Z50" s="2"/>
      <c r="AA50" s="2"/>
    </row>
    <row r="51" ht="33.75" customHeight="1">
      <c r="A51" s="112" t="s">
        <v>278</v>
      </c>
      <c r="B51" s="112" t="s">
        <v>112</v>
      </c>
      <c r="C51" s="114" t="s">
        <v>707</v>
      </c>
      <c r="D51" s="112" t="s">
        <v>35</v>
      </c>
      <c r="E51" s="115" t="s">
        <v>708</v>
      </c>
      <c r="F51" s="116" t="s">
        <v>283</v>
      </c>
      <c r="G51" s="112" t="s">
        <v>285</v>
      </c>
      <c r="H51" s="114">
        <v>4.139201001E9</v>
      </c>
      <c r="I51" s="114" t="s">
        <v>107</v>
      </c>
      <c r="J51" s="119">
        <v>45491.0</v>
      </c>
      <c r="K51" s="119">
        <v>45484.0</v>
      </c>
      <c r="L51" s="114" t="s">
        <v>748</v>
      </c>
      <c r="M51" s="120"/>
      <c r="N51" s="120"/>
      <c r="O51" s="121" t="s">
        <v>749</v>
      </c>
      <c r="P51" s="114" t="s">
        <v>294</v>
      </c>
      <c r="Q51" s="122" t="s">
        <v>711</v>
      </c>
      <c r="R51" s="122" t="s">
        <v>713</v>
      </c>
      <c r="S51" s="116" t="s">
        <v>303</v>
      </c>
      <c r="T51" s="2"/>
      <c r="U51" s="2"/>
      <c r="V51" s="2"/>
      <c r="W51" s="2"/>
      <c r="X51" s="2"/>
      <c r="Y51" s="2"/>
      <c r="Z51" s="2"/>
      <c r="AA51" s="2"/>
    </row>
    <row r="52" ht="33.75" customHeight="1">
      <c r="A52" s="112" t="s">
        <v>278</v>
      </c>
      <c r="B52" s="112" t="s">
        <v>112</v>
      </c>
      <c r="C52" s="114" t="s">
        <v>707</v>
      </c>
      <c r="D52" s="112" t="s">
        <v>35</v>
      </c>
      <c r="E52" s="115" t="s">
        <v>708</v>
      </c>
      <c r="F52" s="116" t="s">
        <v>283</v>
      </c>
      <c r="G52" s="112" t="s">
        <v>285</v>
      </c>
      <c r="H52" s="114">
        <v>4.123101001E9</v>
      </c>
      <c r="I52" s="114" t="s">
        <v>124</v>
      </c>
      <c r="J52" s="119">
        <v>45491.0</v>
      </c>
      <c r="K52" s="119">
        <v>45511.0</v>
      </c>
      <c r="L52" s="114" t="s">
        <v>757</v>
      </c>
      <c r="M52" s="120"/>
      <c r="N52" s="120"/>
      <c r="O52" s="121" t="s">
        <v>758</v>
      </c>
      <c r="P52" s="114" t="s">
        <v>294</v>
      </c>
      <c r="Q52" s="122" t="s">
        <v>711</v>
      </c>
      <c r="R52" s="122" t="s">
        <v>713</v>
      </c>
      <c r="S52" s="116" t="s">
        <v>303</v>
      </c>
      <c r="T52" s="2"/>
      <c r="U52" s="2"/>
      <c r="V52" s="2"/>
      <c r="W52" s="2"/>
      <c r="X52" s="2"/>
      <c r="Y52" s="2"/>
      <c r="Z52" s="2"/>
      <c r="AA52" s="2"/>
    </row>
    <row r="53" ht="33.75" customHeight="1">
      <c r="A53" s="112" t="s">
        <v>278</v>
      </c>
      <c r="B53" s="112" t="s">
        <v>112</v>
      </c>
      <c r="C53" s="114" t="s">
        <v>707</v>
      </c>
      <c r="D53" s="112" t="s">
        <v>35</v>
      </c>
      <c r="E53" s="115" t="s">
        <v>708</v>
      </c>
      <c r="F53" s="116" t="s">
        <v>283</v>
      </c>
      <c r="G53" s="112" t="s">
        <v>285</v>
      </c>
      <c r="H53" s="114">
        <v>1.29900001E9</v>
      </c>
      <c r="I53" s="114" t="s">
        <v>187</v>
      </c>
      <c r="J53" s="119">
        <v>45491.0</v>
      </c>
      <c r="K53" s="119">
        <v>45491.0</v>
      </c>
      <c r="L53" s="114" t="s">
        <v>762</v>
      </c>
      <c r="M53" s="119">
        <v>45525.0</v>
      </c>
      <c r="N53" s="114" t="s">
        <v>763</v>
      </c>
      <c r="O53" s="121" t="s">
        <v>764</v>
      </c>
      <c r="P53" s="114" t="s">
        <v>765</v>
      </c>
      <c r="Q53" s="122" t="s">
        <v>711</v>
      </c>
      <c r="R53" s="122" t="s">
        <v>713</v>
      </c>
      <c r="S53" s="116" t="s">
        <v>303</v>
      </c>
      <c r="T53" s="2"/>
      <c r="U53" s="2"/>
      <c r="V53" s="2"/>
      <c r="W53" s="2"/>
      <c r="X53" s="2"/>
      <c r="Y53" s="2"/>
      <c r="Z53" s="2"/>
      <c r="AA53" s="2"/>
    </row>
    <row r="54" ht="33.75" customHeight="1">
      <c r="A54" s="112" t="s">
        <v>278</v>
      </c>
      <c r="B54" s="112" t="s">
        <v>112</v>
      </c>
      <c r="C54" s="114" t="s">
        <v>707</v>
      </c>
      <c r="D54" s="112" t="s">
        <v>35</v>
      </c>
      <c r="E54" s="115" t="s">
        <v>708</v>
      </c>
      <c r="F54" s="116" t="s">
        <v>283</v>
      </c>
      <c r="G54" s="112" t="s">
        <v>285</v>
      </c>
      <c r="H54" s="114">
        <v>4.139601001E9</v>
      </c>
      <c r="I54" s="114" t="s">
        <v>90</v>
      </c>
      <c r="J54" s="119">
        <v>45491.0</v>
      </c>
      <c r="K54" s="119">
        <v>45540.0</v>
      </c>
      <c r="L54" s="114" t="s">
        <v>766</v>
      </c>
      <c r="M54" s="120"/>
      <c r="N54" s="120"/>
      <c r="O54" s="121" t="s">
        <v>767</v>
      </c>
      <c r="P54" s="114" t="s">
        <v>294</v>
      </c>
      <c r="Q54" s="122" t="s">
        <v>711</v>
      </c>
      <c r="R54" s="122" t="s">
        <v>713</v>
      </c>
      <c r="S54" s="116" t="s">
        <v>303</v>
      </c>
      <c r="T54" s="2"/>
      <c r="U54" s="2"/>
      <c r="V54" s="2"/>
      <c r="W54" s="2"/>
      <c r="X54" s="2"/>
      <c r="Y54" s="2"/>
      <c r="Z54" s="2"/>
      <c r="AA54" s="2"/>
    </row>
    <row r="55" ht="33.75" customHeight="1">
      <c r="A55" s="112" t="s">
        <v>278</v>
      </c>
      <c r="B55" s="112" t="s">
        <v>112</v>
      </c>
      <c r="C55" s="114" t="s">
        <v>707</v>
      </c>
      <c r="D55" s="112" t="s">
        <v>35</v>
      </c>
      <c r="E55" s="115" t="s">
        <v>708</v>
      </c>
      <c r="F55" s="116" t="s">
        <v>283</v>
      </c>
      <c r="G55" s="112" t="s">
        <v>285</v>
      </c>
      <c r="H55" s="114">
        <v>1.206000001E9</v>
      </c>
      <c r="I55" s="114" t="s">
        <v>168</v>
      </c>
      <c r="J55" s="119">
        <v>45491.0</v>
      </c>
      <c r="K55" s="119">
        <v>45539.0</v>
      </c>
      <c r="L55" s="114" t="s">
        <v>769</v>
      </c>
      <c r="M55" s="120"/>
      <c r="N55" s="120"/>
      <c r="O55" s="121" t="s">
        <v>770</v>
      </c>
      <c r="P55" s="114" t="s">
        <v>294</v>
      </c>
      <c r="Q55" s="122" t="s">
        <v>711</v>
      </c>
      <c r="R55" s="122" t="s">
        <v>713</v>
      </c>
      <c r="S55" s="116" t="s">
        <v>303</v>
      </c>
      <c r="T55" s="2"/>
      <c r="U55" s="2"/>
      <c r="V55" s="2"/>
      <c r="W55" s="2"/>
      <c r="X55" s="2"/>
      <c r="Y55" s="2"/>
      <c r="Z55" s="2"/>
      <c r="AA55" s="2"/>
    </row>
    <row r="56" ht="33.75" customHeight="1">
      <c r="A56" s="112" t="s">
        <v>278</v>
      </c>
      <c r="B56" s="112" t="s">
        <v>112</v>
      </c>
      <c r="C56" s="114" t="s">
        <v>771</v>
      </c>
      <c r="D56" s="112" t="s">
        <v>35</v>
      </c>
      <c r="E56" s="115" t="s">
        <v>772</v>
      </c>
      <c r="F56" s="116" t="s">
        <v>283</v>
      </c>
      <c r="G56" s="112" t="s">
        <v>285</v>
      </c>
      <c r="H56" s="114">
        <v>4.139301001E9</v>
      </c>
      <c r="I56" s="114" t="s">
        <v>140</v>
      </c>
      <c r="J56" s="119">
        <v>45461.0</v>
      </c>
      <c r="K56" s="119">
        <v>45468.0</v>
      </c>
      <c r="L56" s="114" t="s">
        <v>774</v>
      </c>
      <c r="M56" s="120"/>
      <c r="N56" s="120"/>
      <c r="O56" s="121" t="s">
        <v>775</v>
      </c>
      <c r="P56" s="114" t="s">
        <v>294</v>
      </c>
      <c r="Q56" s="114" t="s">
        <v>294</v>
      </c>
      <c r="R56" s="120"/>
      <c r="S56" s="116" t="s">
        <v>303</v>
      </c>
      <c r="T56" s="2"/>
      <c r="U56" s="2"/>
      <c r="V56" s="2"/>
      <c r="W56" s="2"/>
      <c r="X56" s="2"/>
      <c r="Y56" s="2"/>
      <c r="Z56" s="2"/>
      <c r="AA56" s="2"/>
    </row>
    <row r="57" ht="33.75" customHeight="1">
      <c r="A57" s="112" t="s">
        <v>278</v>
      </c>
      <c r="B57" s="112" t="s">
        <v>112</v>
      </c>
      <c r="C57" s="114" t="s">
        <v>771</v>
      </c>
      <c r="D57" s="112" t="s">
        <v>35</v>
      </c>
      <c r="E57" s="115" t="s">
        <v>772</v>
      </c>
      <c r="F57" s="116" t="s">
        <v>283</v>
      </c>
      <c r="G57" s="112" t="s">
        <v>285</v>
      </c>
      <c r="H57" s="114">
        <v>4.078101001E9</v>
      </c>
      <c r="I57" s="114" t="s">
        <v>154</v>
      </c>
      <c r="J57" s="119">
        <v>45461.0</v>
      </c>
      <c r="K57" s="119">
        <v>45467.0</v>
      </c>
      <c r="L57" s="114" t="s">
        <v>777</v>
      </c>
      <c r="M57" s="120"/>
      <c r="N57" s="120"/>
      <c r="O57" s="121" t="s">
        <v>778</v>
      </c>
      <c r="P57" s="114" t="s">
        <v>294</v>
      </c>
      <c r="Q57" s="114" t="s">
        <v>294</v>
      </c>
      <c r="R57" s="120"/>
      <c r="S57" s="116" t="s">
        <v>303</v>
      </c>
      <c r="T57" s="2"/>
      <c r="U57" s="2"/>
      <c r="V57" s="2"/>
      <c r="W57" s="2"/>
      <c r="X57" s="2"/>
      <c r="Y57" s="2"/>
      <c r="Z57" s="2"/>
      <c r="AA57" s="2"/>
    </row>
    <row r="58" ht="33.75" hidden="1" customHeight="1">
      <c r="A58" s="112" t="s">
        <v>278</v>
      </c>
      <c r="B58" s="112" t="s">
        <v>112</v>
      </c>
      <c r="C58" s="114" t="s">
        <v>779</v>
      </c>
      <c r="D58" s="112" t="s">
        <v>35</v>
      </c>
      <c r="E58" s="115" t="s">
        <v>781</v>
      </c>
      <c r="F58" s="116" t="s">
        <v>445</v>
      </c>
      <c r="G58" s="112" t="s">
        <v>285</v>
      </c>
      <c r="H58" s="114">
        <v>4.139601001E9</v>
      </c>
      <c r="I58" s="114" t="s">
        <v>90</v>
      </c>
      <c r="J58" s="119">
        <v>45461.0</v>
      </c>
      <c r="K58" s="119">
        <v>45464.0</v>
      </c>
      <c r="L58" s="114" t="s">
        <v>782</v>
      </c>
      <c r="M58" s="120"/>
      <c r="N58" s="120"/>
      <c r="O58" s="121" t="s">
        <v>783</v>
      </c>
      <c r="P58" s="114" t="s">
        <v>294</v>
      </c>
      <c r="Q58" s="114" t="s">
        <v>294</v>
      </c>
      <c r="R58" s="120"/>
      <c r="S58" s="116" t="s">
        <v>303</v>
      </c>
      <c r="T58" s="129"/>
      <c r="U58" s="129"/>
      <c r="V58" s="129"/>
      <c r="W58" s="129"/>
      <c r="X58" s="129"/>
      <c r="Y58" s="129"/>
      <c r="Z58" s="129"/>
      <c r="AA58" s="129"/>
    </row>
    <row r="59" ht="33.75" hidden="1" customHeight="1">
      <c r="A59" s="112" t="s">
        <v>278</v>
      </c>
      <c r="B59" s="112" t="s">
        <v>112</v>
      </c>
      <c r="C59" s="114" t="s">
        <v>786</v>
      </c>
      <c r="D59" s="112" t="s">
        <v>35</v>
      </c>
      <c r="E59" s="115" t="s">
        <v>788</v>
      </c>
      <c r="F59" s="116" t="s">
        <v>445</v>
      </c>
      <c r="G59" s="112" t="s">
        <v>285</v>
      </c>
      <c r="H59" s="114">
        <v>4.139201001E9</v>
      </c>
      <c r="I59" s="114" t="s">
        <v>107</v>
      </c>
      <c r="J59" s="119">
        <v>45449.0</v>
      </c>
      <c r="K59" s="119">
        <v>45450.0</v>
      </c>
      <c r="L59" s="114" t="s">
        <v>790</v>
      </c>
      <c r="M59" s="120"/>
      <c r="N59" s="120"/>
      <c r="O59" s="121" t="s">
        <v>791</v>
      </c>
      <c r="P59" s="114" t="s">
        <v>294</v>
      </c>
      <c r="Q59" s="114" t="s">
        <v>294</v>
      </c>
      <c r="R59" s="120"/>
      <c r="S59" s="116" t="s">
        <v>303</v>
      </c>
      <c r="T59" s="129"/>
      <c r="U59" s="129"/>
      <c r="V59" s="129"/>
      <c r="W59" s="129"/>
      <c r="X59" s="129"/>
      <c r="Y59" s="129"/>
      <c r="Z59" s="129"/>
      <c r="AA59" s="129"/>
    </row>
    <row r="60" ht="33.75" hidden="1" customHeight="1">
      <c r="A60" s="112" t="s">
        <v>278</v>
      </c>
      <c r="B60" s="112" t="s">
        <v>112</v>
      </c>
      <c r="C60" s="114" t="s">
        <v>792</v>
      </c>
      <c r="D60" s="112" t="s">
        <v>35</v>
      </c>
      <c r="E60" s="115" t="s">
        <v>793</v>
      </c>
      <c r="F60" s="116" t="s">
        <v>445</v>
      </c>
      <c r="G60" s="112" t="s">
        <v>285</v>
      </c>
      <c r="H60" s="114">
        <v>1.29900001E9</v>
      </c>
      <c r="I60" s="114" t="s">
        <v>187</v>
      </c>
      <c r="J60" s="119">
        <v>45418.0</v>
      </c>
      <c r="K60" s="119">
        <v>45420.0</v>
      </c>
      <c r="L60" s="114" t="s">
        <v>794</v>
      </c>
      <c r="M60" s="120"/>
      <c r="N60" s="120"/>
      <c r="O60" s="121" t="s">
        <v>795</v>
      </c>
      <c r="P60" s="114" t="s">
        <v>294</v>
      </c>
      <c r="Q60" s="114" t="s">
        <v>294</v>
      </c>
      <c r="R60" s="120"/>
      <c r="S60" s="116" t="s">
        <v>303</v>
      </c>
      <c r="T60" s="129"/>
      <c r="U60" s="129"/>
      <c r="V60" s="129"/>
      <c r="W60" s="129"/>
      <c r="X60" s="129"/>
      <c r="Y60" s="129"/>
      <c r="Z60" s="129"/>
      <c r="AA60" s="129"/>
    </row>
    <row r="61" ht="33.75" customHeight="1">
      <c r="A61" s="112" t="s">
        <v>278</v>
      </c>
      <c r="B61" s="112" t="s">
        <v>112</v>
      </c>
      <c r="C61" s="114" t="s">
        <v>796</v>
      </c>
      <c r="D61" s="112" t="s">
        <v>35</v>
      </c>
      <c r="E61" s="115" t="s">
        <v>797</v>
      </c>
      <c r="F61" s="116" t="s">
        <v>283</v>
      </c>
      <c r="G61" s="112" t="s">
        <v>285</v>
      </c>
      <c r="H61" s="114">
        <v>4.139601001E9</v>
      </c>
      <c r="I61" s="114" t="s">
        <v>90</v>
      </c>
      <c r="J61" s="119">
        <v>45411.0</v>
      </c>
      <c r="K61" s="119">
        <v>45415.0</v>
      </c>
      <c r="L61" s="114" t="s">
        <v>798</v>
      </c>
      <c r="M61" s="120"/>
      <c r="N61" s="120"/>
      <c r="O61" s="121" t="s">
        <v>800</v>
      </c>
      <c r="P61" s="114" t="s">
        <v>294</v>
      </c>
      <c r="Q61" s="114" t="s">
        <v>294</v>
      </c>
      <c r="R61" s="120"/>
      <c r="S61" s="116" t="s">
        <v>303</v>
      </c>
      <c r="T61" s="2"/>
      <c r="U61" s="2"/>
      <c r="V61" s="2"/>
      <c r="W61" s="2"/>
      <c r="X61" s="2"/>
      <c r="Y61" s="2"/>
      <c r="Z61" s="2"/>
      <c r="AA61" s="2"/>
    </row>
    <row r="62" ht="33.75" customHeight="1">
      <c r="A62" s="112" t="s">
        <v>278</v>
      </c>
      <c r="B62" s="112" t="s">
        <v>112</v>
      </c>
      <c r="C62" s="114" t="s">
        <v>796</v>
      </c>
      <c r="D62" s="112" t="s">
        <v>35</v>
      </c>
      <c r="E62" s="115" t="s">
        <v>797</v>
      </c>
      <c r="F62" s="116" t="s">
        <v>283</v>
      </c>
      <c r="G62" s="112" t="s">
        <v>285</v>
      </c>
      <c r="H62" s="114">
        <v>1.206000001E9</v>
      </c>
      <c r="I62" s="114" t="s">
        <v>168</v>
      </c>
      <c r="J62" s="119">
        <v>45411.0</v>
      </c>
      <c r="K62" s="119">
        <v>45414.0</v>
      </c>
      <c r="L62" s="114" t="s">
        <v>801</v>
      </c>
      <c r="M62" s="120"/>
      <c r="N62" s="120"/>
      <c r="O62" s="121" t="s">
        <v>802</v>
      </c>
      <c r="P62" s="114" t="s">
        <v>294</v>
      </c>
      <c r="Q62" s="114" t="s">
        <v>294</v>
      </c>
      <c r="R62" s="120"/>
      <c r="S62" s="116" t="s">
        <v>303</v>
      </c>
      <c r="T62" s="2"/>
      <c r="U62" s="2"/>
      <c r="V62" s="2"/>
      <c r="W62" s="2"/>
      <c r="X62" s="2"/>
      <c r="Y62" s="2"/>
      <c r="Z62" s="2"/>
      <c r="AA62" s="2"/>
    </row>
    <row r="63" ht="33.75" hidden="1" customHeight="1">
      <c r="A63" s="112" t="s">
        <v>278</v>
      </c>
      <c r="B63" s="112" t="s">
        <v>112</v>
      </c>
      <c r="C63" s="114" t="s">
        <v>796</v>
      </c>
      <c r="D63" s="112" t="s">
        <v>35</v>
      </c>
      <c r="E63" s="115" t="s">
        <v>797</v>
      </c>
      <c r="F63" s="116" t="s">
        <v>445</v>
      </c>
      <c r="G63" s="112" t="s">
        <v>285</v>
      </c>
      <c r="H63" s="114">
        <v>1.206000001E9</v>
      </c>
      <c r="I63" s="114" t="s">
        <v>168</v>
      </c>
      <c r="J63" s="119">
        <v>45411.0</v>
      </c>
      <c r="K63" s="119">
        <v>45415.0</v>
      </c>
      <c r="L63" s="114" t="s">
        <v>804</v>
      </c>
      <c r="M63" s="119">
        <v>45434.0</v>
      </c>
      <c r="N63" s="114" t="s">
        <v>805</v>
      </c>
      <c r="O63" s="121" t="s">
        <v>806</v>
      </c>
      <c r="P63" s="114" t="s">
        <v>807</v>
      </c>
      <c r="Q63" s="114" t="s">
        <v>294</v>
      </c>
      <c r="R63" s="120"/>
      <c r="S63" s="116" t="s">
        <v>303</v>
      </c>
      <c r="T63" s="129"/>
      <c r="U63" s="129"/>
      <c r="V63" s="129"/>
      <c r="W63" s="129"/>
      <c r="X63" s="129"/>
      <c r="Y63" s="129"/>
      <c r="Z63" s="129"/>
      <c r="AA63" s="129"/>
    </row>
    <row r="64" ht="33.75" hidden="1" customHeight="1">
      <c r="A64" s="112" t="s">
        <v>278</v>
      </c>
      <c r="B64" s="112" t="s">
        <v>112</v>
      </c>
      <c r="C64" s="114" t="s">
        <v>808</v>
      </c>
      <c r="D64" s="112" t="s">
        <v>35</v>
      </c>
      <c r="E64" s="115" t="s">
        <v>809</v>
      </c>
      <c r="F64" s="116" t="s">
        <v>445</v>
      </c>
      <c r="G64" s="112" t="s">
        <v>517</v>
      </c>
      <c r="H64" s="114">
        <v>4.139201001E9</v>
      </c>
      <c r="I64" s="114" t="s">
        <v>107</v>
      </c>
      <c r="J64" s="119">
        <v>45379.0</v>
      </c>
      <c r="K64" s="119">
        <v>45387.0</v>
      </c>
      <c r="L64" s="114" t="s">
        <v>810</v>
      </c>
      <c r="M64" s="120"/>
      <c r="N64" s="120"/>
      <c r="O64" s="121" t="s">
        <v>812</v>
      </c>
      <c r="P64" s="114" t="s">
        <v>294</v>
      </c>
      <c r="Q64" s="114" t="s">
        <v>294</v>
      </c>
      <c r="R64" s="120"/>
      <c r="S64" s="116" t="s">
        <v>303</v>
      </c>
      <c r="T64" s="129"/>
      <c r="U64" s="129"/>
      <c r="V64" s="129"/>
      <c r="W64" s="129"/>
      <c r="X64" s="129"/>
      <c r="Y64" s="129"/>
      <c r="Z64" s="129"/>
      <c r="AA64" s="129"/>
    </row>
    <row r="65" ht="33.75" customHeight="1">
      <c r="A65" s="112" t="s">
        <v>278</v>
      </c>
      <c r="B65" s="112" t="s">
        <v>112</v>
      </c>
      <c r="C65" s="114" t="s">
        <v>814</v>
      </c>
      <c r="D65" s="112" t="s">
        <v>35</v>
      </c>
      <c r="E65" s="115" t="s">
        <v>815</v>
      </c>
      <c r="F65" s="116" t="s">
        <v>283</v>
      </c>
      <c r="G65" s="112" t="s">
        <v>285</v>
      </c>
      <c r="H65" s="114">
        <v>1.29900001E9</v>
      </c>
      <c r="I65" s="114" t="s">
        <v>187</v>
      </c>
      <c r="J65" s="119">
        <v>45356.0</v>
      </c>
      <c r="K65" s="119">
        <v>45357.0</v>
      </c>
      <c r="L65" s="114" t="s">
        <v>816</v>
      </c>
      <c r="M65" s="119">
        <v>45371.0</v>
      </c>
      <c r="N65" s="114" t="s">
        <v>817</v>
      </c>
      <c r="O65" s="121" t="s">
        <v>818</v>
      </c>
      <c r="P65" s="114" t="s">
        <v>820</v>
      </c>
      <c r="Q65" s="114" t="s">
        <v>294</v>
      </c>
      <c r="R65" s="120"/>
      <c r="S65" s="116" t="s">
        <v>303</v>
      </c>
      <c r="T65" s="2"/>
      <c r="U65" s="2"/>
      <c r="V65" s="2"/>
      <c r="W65" s="2"/>
      <c r="X65" s="2"/>
      <c r="Y65" s="2"/>
      <c r="Z65" s="2"/>
      <c r="AA65" s="2"/>
    </row>
    <row r="66" ht="33.75" hidden="1" customHeight="1">
      <c r="A66" s="112" t="s">
        <v>278</v>
      </c>
      <c r="B66" s="112" t="s">
        <v>112</v>
      </c>
      <c r="C66" s="114" t="s">
        <v>814</v>
      </c>
      <c r="D66" s="112" t="s">
        <v>35</v>
      </c>
      <c r="E66" s="115" t="s">
        <v>815</v>
      </c>
      <c r="F66" s="116" t="s">
        <v>445</v>
      </c>
      <c r="G66" s="112" t="s">
        <v>285</v>
      </c>
      <c r="H66" s="114">
        <v>1.29900001E9</v>
      </c>
      <c r="I66" s="114" t="s">
        <v>187</v>
      </c>
      <c r="J66" s="119">
        <v>45356.0</v>
      </c>
      <c r="K66" s="120"/>
      <c r="L66" s="120"/>
      <c r="M66" s="119">
        <v>45455.0</v>
      </c>
      <c r="N66" s="114" t="s">
        <v>822</v>
      </c>
      <c r="O66" s="152"/>
      <c r="P66" s="114" t="s">
        <v>823</v>
      </c>
      <c r="Q66" s="114" t="s">
        <v>294</v>
      </c>
      <c r="R66" s="120"/>
      <c r="S66" s="116" t="s">
        <v>303</v>
      </c>
      <c r="T66" s="129"/>
      <c r="U66" s="129"/>
      <c r="V66" s="129"/>
      <c r="W66" s="129"/>
      <c r="X66" s="129"/>
      <c r="Y66" s="129"/>
      <c r="Z66" s="129"/>
      <c r="AA66" s="129"/>
    </row>
    <row r="67" ht="33.75" customHeight="1">
      <c r="A67" s="112" t="s">
        <v>278</v>
      </c>
      <c r="B67" s="112" t="s">
        <v>112</v>
      </c>
      <c r="C67" s="114" t="s">
        <v>825</v>
      </c>
      <c r="D67" s="112" t="s">
        <v>35</v>
      </c>
      <c r="E67" s="115" t="s">
        <v>815</v>
      </c>
      <c r="F67" s="116" t="s">
        <v>283</v>
      </c>
      <c r="G67" s="112" t="s">
        <v>285</v>
      </c>
      <c r="H67" s="114">
        <v>4.123101001E9</v>
      </c>
      <c r="I67" s="114" t="s">
        <v>124</v>
      </c>
      <c r="J67" s="119">
        <v>45356.0</v>
      </c>
      <c r="K67" s="119">
        <v>45392.0</v>
      </c>
      <c r="L67" s="114" t="s">
        <v>826</v>
      </c>
      <c r="M67" s="120"/>
      <c r="N67" s="120"/>
      <c r="O67" s="121" t="s">
        <v>827</v>
      </c>
      <c r="P67" s="114" t="s">
        <v>294</v>
      </c>
      <c r="Q67" s="114" t="s">
        <v>294</v>
      </c>
      <c r="R67" s="120"/>
      <c r="S67" s="116" t="s">
        <v>303</v>
      </c>
      <c r="T67" s="2"/>
      <c r="U67" s="2"/>
      <c r="V67" s="2"/>
      <c r="W67" s="2"/>
      <c r="X67" s="2"/>
      <c r="Y67" s="2"/>
      <c r="Z67" s="2"/>
      <c r="AA67" s="2"/>
    </row>
    <row r="68" ht="33.75" customHeight="1">
      <c r="A68" s="112" t="s">
        <v>278</v>
      </c>
      <c r="B68" s="112" t="s">
        <v>112</v>
      </c>
      <c r="C68" s="114" t="s">
        <v>828</v>
      </c>
      <c r="D68" s="112" t="s">
        <v>35</v>
      </c>
      <c r="E68" s="115" t="s">
        <v>815</v>
      </c>
      <c r="F68" s="116" t="s">
        <v>283</v>
      </c>
      <c r="G68" s="112" t="s">
        <v>517</v>
      </c>
      <c r="H68" s="114">
        <v>4.139201001E9</v>
      </c>
      <c r="I68" s="114" t="s">
        <v>107</v>
      </c>
      <c r="J68" s="119">
        <v>45354.0</v>
      </c>
      <c r="K68" s="119">
        <v>45363.0</v>
      </c>
      <c r="L68" s="114" t="s">
        <v>830</v>
      </c>
      <c r="M68" s="120"/>
      <c r="N68" s="120"/>
      <c r="O68" s="121" t="s">
        <v>831</v>
      </c>
      <c r="P68" s="114" t="s">
        <v>294</v>
      </c>
      <c r="Q68" s="114" t="s">
        <v>294</v>
      </c>
      <c r="R68" s="120"/>
      <c r="S68" s="116" t="s">
        <v>303</v>
      </c>
      <c r="T68" s="2"/>
      <c r="U68" s="2"/>
      <c r="V68" s="2"/>
      <c r="W68" s="2"/>
      <c r="X68" s="2"/>
      <c r="Y68" s="2"/>
      <c r="Z68" s="2"/>
      <c r="AA68" s="2"/>
    </row>
    <row r="69" ht="33.75" customHeight="1">
      <c r="A69" s="112" t="s">
        <v>278</v>
      </c>
      <c r="B69" s="112" t="s">
        <v>112</v>
      </c>
      <c r="C69" s="114" t="s">
        <v>833</v>
      </c>
      <c r="D69" s="112" t="s">
        <v>35</v>
      </c>
      <c r="E69" s="115" t="s">
        <v>834</v>
      </c>
      <c r="F69" s="116" t="s">
        <v>283</v>
      </c>
      <c r="G69" s="112" t="s">
        <v>517</v>
      </c>
      <c r="H69" s="114">
        <v>4.078101001E9</v>
      </c>
      <c r="I69" s="114" t="s">
        <v>154</v>
      </c>
      <c r="J69" s="119">
        <v>45346.0</v>
      </c>
      <c r="K69" s="119">
        <v>45351.0</v>
      </c>
      <c r="L69" s="114" t="s">
        <v>835</v>
      </c>
      <c r="M69" s="119">
        <v>45391.0</v>
      </c>
      <c r="N69" s="114" t="s">
        <v>837</v>
      </c>
      <c r="O69" s="121" t="s">
        <v>838</v>
      </c>
      <c r="P69" s="114" t="s">
        <v>839</v>
      </c>
      <c r="Q69" s="122" t="s">
        <v>840</v>
      </c>
      <c r="R69" s="122" t="s">
        <v>842</v>
      </c>
      <c r="S69" s="116" t="s">
        <v>303</v>
      </c>
      <c r="T69" s="2"/>
      <c r="U69" s="2"/>
      <c r="V69" s="2"/>
      <c r="W69" s="2"/>
      <c r="X69" s="2"/>
      <c r="Y69" s="2"/>
      <c r="Z69" s="2"/>
      <c r="AA69" s="2"/>
    </row>
    <row r="70" ht="33.75" customHeight="1">
      <c r="A70" s="112" t="s">
        <v>278</v>
      </c>
      <c r="B70" s="112" t="s">
        <v>112</v>
      </c>
      <c r="C70" s="114" t="s">
        <v>833</v>
      </c>
      <c r="D70" s="112" t="s">
        <v>35</v>
      </c>
      <c r="E70" s="115" t="s">
        <v>834</v>
      </c>
      <c r="F70" s="116" t="s">
        <v>283</v>
      </c>
      <c r="G70" s="112" t="s">
        <v>285</v>
      </c>
      <c r="H70" s="114">
        <v>4.139301001E9</v>
      </c>
      <c r="I70" s="114" t="s">
        <v>140</v>
      </c>
      <c r="J70" s="119">
        <v>45346.0</v>
      </c>
      <c r="K70" s="119">
        <v>45349.0</v>
      </c>
      <c r="L70" s="114" t="s">
        <v>845</v>
      </c>
      <c r="M70" s="120"/>
      <c r="N70" s="120"/>
      <c r="O70" s="121" t="s">
        <v>846</v>
      </c>
      <c r="P70" s="114" t="s">
        <v>294</v>
      </c>
      <c r="Q70" s="122" t="s">
        <v>840</v>
      </c>
      <c r="R70" s="122" t="s">
        <v>842</v>
      </c>
      <c r="S70" s="116" t="s">
        <v>303</v>
      </c>
      <c r="T70" s="2"/>
      <c r="U70" s="2"/>
      <c r="V70" s="2"/>
      <c r="W70" s="2"/>
      <c r="X70" s="2"/>
      <c r="Y70" s="2"/>
      <c r="Z70" s="2"/>
      <c r="AA70" s="2"/>
    </row>
    <row r="71" ht="33.75" customHeight="1">
      <c r="A71" s="112" t="s">
        <v>278</v>
      </c>
      <c r="B71" s="112" t="s">
        <v>112</v>
      </c>
      <c r="C71" s="114" t="s">
        <v>833</v>
      </c>
      <c r="D71" s="112" t="s">
        <v>35</v>
      </c>
      <c r="E71" s="115" t="s">
        <v>834</v>
      </c>
      <c r="F71" s="116" t="s">
        <v>283</v>
      </c>
      <c r="G71" s="112" t="s">
        <v>517</v>
      </c>
      <c r="H71" s="114">
        <v>4.123201001E9</v>
      </c>
      <c r="I71" s="114" t="s">
        <v>131</v>
      </c>
      <c r="J71" s="119">
        <v>45346.0</v>
      </c>
      <c r="K71" s="119">
        <v>45357.0</v>
      </c>
      <c r="L71" s="114" t="s">
        <v>849</v>
      </c>
      <c r="M71" s="119">
        <v>45370.0</v>
      </c>
      <c r="N71" s="114" t="s">
        <v>850</v>
      </c>
      <c r="O71" s="121" t="s">
        <v>851</v>
      </c>
      <c r="P71" s="114" t="s">
        <v>852</v>
      </c>
      <c r="Q71" s="122" t="s">
        <v>840</v>
      </c>
      <c r="R71" s="122" t="s">
        <v>842</v>
      </c>
      <c r="S71" s="116" t="s">
        <v>303</v>
      </c>
      <c r="T71" s="2"/>
      <c r="U71" s="2"/>
      <c r="V71" s="2"/>
      <c r="W71" s="2"/>
      <c r="X71" s="2"/>
      <c r="Y71" s="2"/>
      <c r="Z71" s="2"/>
      <c r="AA71" s="2"/>
    </row>
    <row r="72" ht="33.75" hidden="1" customHeight="1">
      <c r="A72" s="112" t="s">
        <v>278</v>
      </c>
      <c r="B72" s="112" t="s">
        <v>112</v>
      </c>
      <c r="C72" s="114" t="s">
        <v>833</v>
      </c>
      <c r="D72" s="112" t="s">
        <v>35</v>
      </c>
      <c r="E72" s="115" t="s">
        <v>834</v>
      </c>
      <c r="F72" s="116" t="s">
        <v>445</v>
      </c>
      <c r="G72" s="112" t="s">
        <v>517</v>
      </c>
      <c r="H72" s="114">
        <v>4.123201001E9</v>
      </c>
      <c r="I72" s="114" t="s">
        <v>131</v>
      </c>
      <c r="J72" s="119">
        <v>45346.0</v>
      </c>
      <c r="K72" s="120"/>
      <c r="L72" s="120"/>
      <c r="M72" s="119">
        <v>45383.0</v>
      </c>
      <c r="N72" s="114" t="s">
        <v>853</v>
      </c>
      <c r="O72" s="152"/>
      <c r="P72" s="114" t="s">
        <v>854</v>
      </c>
      <c r="Q72" s="122" t="s">
        <v>840</v>
      </c>
      <c r="R72" s="122" t="s">
        <v>842</v>
      </c>
      <c r="S72" s="116" t="s">
        <v>303</v>
      </c>
      <c r="T72" s="129"/>
      <c r="U72" s="129"/>
      <c r="V72" s="129"/>
      <c r="W72" s="129"/>
      <c r="X72" s="129"/>
      <c r="Y72" s="129"/>
      <c r="Z72" s="129"/>
      <c r="AA72" s="129"/>
    </row>
    <row r="73" ht="33.75" customHeight="1">
      <c r="A73" s="112" t="s">
        <v>278</v>
      </c>
      <c r="B73" s="112" t="s">
        <v>112</v>
      </c>
      <c r="C73" s="114" t="s">
        <v>833</v>
      </c>
      <c r="D73" s="112" t="s">
        <v>35</v>
      </c>
      <c r="E73" s="115" t="s">
        <v>834</v>
      </c>
      <c r="F73" s="116" t="s">
        <v>283</v>
      </c>
      <c r="G73" s="112" t="s">
        <v>517</v>
      </c>
      <c r="H73" s="114">
        <v>4.079001001E9</v>
      </c>
      <c r="I73" s="114" t="s">
        <v>37</v>
      </c>
      <c r="J73" s="119">
        <v>45346.0</v>
      </c>
      <c r="K73" s="119">
        <v>45355.0</v>
      </c>
      <c r="L73" s="114" t="s">
        <v>856</v>
      </c>
      <c r="M73" s="120"/>
      <c r="N73" s="120"/>
      <c r="O73" s="121" t="s">
        <v>857</v>
      </c>
      <c r="P73" s="114" t="s">
        <v>294</v>
      </c>
      <c r="Q73" s="122" t="s">
        <v>840</v>
      </c>
      <c r="R73" s="122" t="s">
        <v>842</v>
      </c>
      <c r="S73" s="116" t="s">
        <v>303</v>
      </c>
      <c r="T73" s="2"/>
      <c r="U73" s="2"/>
      <c r="V73" s="2"/>
      <c r="W73" s="2"/>
      <c r="X73" s="2"/>
      <c r="Y73" s="2"/>
      <c r="Z73" s="2"/>
      <c r="AA73" s="2"/>
    </row>
    <row r="74" ht="33.75" customHeight="1">
      <c r="A74" s="112" t="s">
        <v>278</v>
      </c>
      <c r="B74" s="112" t="s">
        <v>112</v>
      </c>
      <c r="C74" s="114" t="s">
        <v>833</v>
      </c>
      <c r="D74" s="112" t="s">
        <v>35</v>
      </c>
      <c r="E74" s="115" t="s">
        <v>834</v>
      </c>
      <c r="F74" s="116" t="s">
        <v>283</v>
      </c>
      <c r="G74" s="112" t="s">
        <v>517</v>
      </c>
      <c r="H74" s="114">
        <v>4.102101001E9</v>
      </c>
      <c r="I74" s="114" t="s">
        <v>37</v>
      </c>
      <c r="J74" s="119">
        <v>45346.0</v>
      </c>
      <c r="K74" s="119">
        <v>45356.0</v>
      </c>
      <c r="L74" s="114" t="s">
        <v>858</v>
      </c>
      <c r="M74" s="120"/>
      <c r="N74" s="120"/>
      <c r="O74" s="121" t="s">
        <v>859</v>
      </c>
      <c r="P74" s="114" t="s">
        <v>294</v>
      </c>
      <c r="Q74" s="122" t="s">
        <v>840</v>
      </c>
      <c r="R74" s="122" t="s">
        <v>842</v>
      </c>
      <c r="S74" s="116" t="s">
        <v>303</v>
      </c>
      <c r="T74" s="2"/>
      <c r="U74" s="2"/>
      <c r="V74" s="2"/>
      <c r="W74" s="2"/>
      <c r="X74" s="2"/>
      <c r="Y74" s="2"/>
      <c r="Z74" s="2"/>
      <c r="AA74" s="2"/>
    </row>
    <row r="75" ht="33.75" customHeight="1">
      <c r="A75" s="112" t="s">
        <v>278</v>
      </c>
      <c r="B75" s="112" t="s">
        <v>112</v>
      </c>
      <c r="C75" s="114" t="s">
        <v>833</v>
      </c>
      <c r="D75" s="112" t="s">
        <v>35</v>
      </c>
      <c r="E75" s="115" t="s">
        <v>834</v>
      </c>
      <c r="F75" s="116" t="s">
        <v>283</v>
      </c>
      <c r="G75" s="112" t="s">
        <v>285</v>
      </c>
      <c r="H75" s="114">
        <v>3.942001001E9</v>
      </c>
      <c r="I75" s="114" t="s">
        <v>70</v>
      </c>
      <c r="J75" s="119">
        <v>45346.0</v>
      </c>
      <c r="K75" s="119">
        <v>45356.0</v>
      </c>
      <c r="L75" s="114" t="s">
        <v>861</v>
      </c>
      <c r="M75" s="120"/>
      <c r="N75" s="120"/>
      <c r="O75" s="121" t="s">
        <v>862</v>
      </c>
      <c r="P75" s="114" t="s">
        <v>294</v>
      </c>
      <c r="Q75" s="122" t="s">
        <v>840</v>
      </c>
      <c r="R75" s="122" t="s">
        <v>842</v>
      </c>
      <c r="S75" s="116" t="s">
        <v>303</v>
      </c>
      <c r="T75" s="2"/>
      <c r="U75" s="2"/>
      <c r="V75" s="2"/>
      <c r="W75" s="2"/>
      <c r="X75" s="2"/>
      <c r="Y75" s="2"/>
      <c r="Z75" s="2"/>
      <c r="AA75" s="2"/>
    </row>
    <row r="76" ht="33.75" customHeight="1">
      <c r="A76" s="112" t="s">
        <v>278</v>
      </c>
      <c r="B76" s="112" t="s">
        <v>112</v>
      </c>
      <c r="C76" s="114" t="s">
        <v>833</v>
      </c>
      <c r="D76" s="112" t="s">
        <v>35</v>
      </c>
      <c r="E76" s="115" t="s">
        <v>834</v>
      </c>
      <c r="F76" s="116" t="s">
        <v>283</v>
      </c>
      <c r="G76" s="112" t="s">
        <v>285</v>
      </c>
      <c r="H76" s="114">
        <v>1.299000006E9</v>
      </c>
      <c r="I76" s="114" t="s">
        <v>177</v>
      </c>
      <c r="J76" s="119">
        <v>45346.0</v>
      </c>
      <c r="K76" s="119">
        <v>45356.0</v>
      </c>
      <c r="L76" s="114" t="s">
        <v>869</v>
      </c>
      <c r="M76" s="120"/>
      <c r="N76" s="120"/>
      <c r="O76" s="121" t="s">
        <v>872</v>
      </c>
      <c r="P76" s="114" t="s">
        <v>294</v>
      </c>
      <c r="Q76" s="122" t="s">
        <v>840</v>
      </c>
      <c r="R76" s="122" t="s">
        <v>842</v>
      </c>
      <c r="S76" s="116" t="s">
        <v>303</v>
      </c>
      <c r="T76" s="2"/>
      <c r="U76" s="2"/>
      <c r="V76" s="2"/>
      <c r="W76" s="2"/>
      <c r="X76" s="2"/>
      <c r="Y76" s="2"/>
      <c r="Z76" s="2"/>
      <c r="AA76" s="2"/>
    </row>
    <row r="77" ht="33.75" customHeight="1">
      <c r="A77" s="112" t="s">
        <v>278</v>
      </c>
      <c r="B77" s="112" t="s">
        <v>112</v>
      </c>
      <c r="C77" s="114" t="s">
        <v>833</v>
      </c>
      <c r="D77" s="112" t="s">
        <v>35</v>
      </c>
      <c r="E77" s="115" t="s">
        <v>834</v>
      </c>
      <c r="F77" s="116" t="s">
        <v>283</v>
      </c>
      <c r="G77" s="112" t="s">
        <v>285</v>
      </c>
      <c r="H77" s="114">
        <v>4.134201001E9</v>
      </c>
      <c r="I77" s="114" t="s">
        <v>98</v>
      </c>
      <c r="J77" s="119">
        <v>45346.0</v>
      </c>
      <c r="K77" s="119">
        <v>45363.0</v>
      </c>
      <c r="L77" s="114" t="s">
        <v>880</v>
      </c>
      <c r="M77" s="120"/>
      <c r="N77" s="120"/>
      <c r="O77" s="121" t="s">
        <v>881</v>
      </c>
      <c r="P77" s="114" t="s">
        <v>294</v>
      </c>
      <c r="Q77" s="114"/>
      <c r="R77" s="114"/>
      <c r="S77" s="116" t="s">
        <v>303</v>
      </c>
      <c r="T77" s="2"/>
      <c r="U77" s="2"/>
      <c r="V77" s="2"/>
      <c r="W77" s="2"/>
      <c r="X77" s="2"/>
      <c r="Y77" s="2"/>
      <c r="Z77" s="2"/>
      <c r="AA77" s="2"/>
    </row>
    <row r="78" ht="33.75" hidden="1" customHeight="1">
      <c r="A78" s="112" t="s">
        <v>278</v>
      </c>
      <c r="B78" s="112" t="s">
        <v>112</v>
      </c>
      <c r="C78" s="114" t="s">
        <v>885</v>
      </c>
      <c r="D78" s="112" t="s">
        <v>35</v>
      </c>
      <c r="E78" s="115" t="s">
        <v>886</v>
      </c>
      <c r="F78" s="116" t="s">
        <v>445</v>
      </c>
      <c r="G78" s="112" t="s">
        <v>285</v>
      </c>
      <c r="H78" s="114">
        <v>4.631501001E9</v>
      </c>
      <c r="I78" s="136" t="s">
        <v>610</v>
      </c>
      <c r="J78" s="119">
        <v>45673.0</v>
      </c>
      <c r="K78" s="119">
        <v>45678.0</v>
      </c>
      <c r="L78" s="114" t="s">
        <v>889</v>
      </c>
      <c r="M78" s="120"/>
      <c r="N78" s="120"/>
      <c r="O78" s="121" t="s">
        <v>891</v>
      </c>
      <c r="P78" s="114" t="s">
        <v>294</v>
      </c>
      <c r="Q78" s="114" t="s">
        <v>294</v>
      </c>
      <c r="R78" s="120"/>
      <c r="S78" s="116" t="s">
        <v>303</v>
      </c>
      <c r="T78" s="129"/>
      <c r="U78" s="129"/>
      <c r="V78" s="129"/>
      <c r="W78" s="129"/>
      <c r="X78" s="129"/>
      <c r="Y78" s="129"/>
      <c r="Z78" s="129"/>
      <c r="AA78" s="129"/>
    </row>
    <row r="79" ht="33.75" hidden="1" customHeight="1">
      <c r="A79" s="112" t="s">
        <v>278</v>
      </c>
      <c r="B79" s="112" t="s">
        <v>112</v>
      </c>
      <c r="C79" s="114" t="s">
        <v>885</v>
      </c>
      <c r="D79" s="112" t="s">
        <v>35</v>
      </c>
      <c r="E79" s="115" t="s">
        <v>886</v>
      </c>
      <c r="F79" s="116" t="s">
        <v>445</v>
      </c>
      <c r="G79" s="112" t="s">
        <v>285</v>
      </c>
      <c r="H79" s="114">
        <v>4.631501001E9</v>
      </c>
      <c r="I79" s="136" t="s">
        <v>610</v>
      </c>
      <c r="J79" s="119">
        <v>45673.0</v>
      </c>
      <c r="K79" s="119">
        <v>45678.0</v>
      </c>
      <c r="L79" s="114" t="s">
        <v>900</v>
      </c>
      <c r="M79" s="120"/>
      <c r="N79" s="120"/>
      <c r="O79" s="121" t="s">
        <v>902</v>
      </c>
      <c r="P79" s="114" t="s">
        <v>294</v>
      </c>
      <c r="Q79" s="114" t="s">
        <v>294</v>
      </c>
      <c r="R79" s="120"/>
      <c r="S79" s="116" t="s">
        <v>303</v>
      </c>
      <c r="T79" s="129"/>
      <c r="U79" s="129"/>
      <c r="V79" s="129"/>
      <c r="W79" s="129"/>
      <c r="X79" s="129"/>
      <c r="Y79" s="129"/>
      <c r="Z79" s="129"/>
      <c r="AA79" s="129"/>
    </row>
    <row r="80" ht="33.75" hidden="1" customHeight="1">
      <c r="A80" s="112" t="s">
        <v>278</v>
      </c>
      <c r="B80" s="112" t="s">
        <v>112</v>
      </c>
      <c r="C80" s="114" t="s">
        <v>907</v>
      </c>
      <c r="D80" s="112" t="s">
        <v>35</v>
      </c>
      <c r="E80" s="115" t="s">
        <v>909</v>
      </c>
      <c r="F80" s="116" t="s">
        <v>445</v>
      </c>
      <c r="G80" s="112" t="s">
        <v>285</v>
      </c>
      <c r="H80" s="114">
        <v>4.139301001E9</v>
      </c>
      <c r="I80" s="114" t="s">
        <v>140</v>
      </c>
      <c r="J80" s="119">
        <v>45685.0</v>
      </c>
      <c r="K80" s="119">
        <v>45694.0</v>
      </c>
      <c r="L80" s="114" t="s">
        <v>914</v>
      </c>
      <c r="M80" s="120"/>
      <c r="N80" s="120"/>
      <c r="O80" s="121" t="s">
        <v>916</v>
      </c>
      <c r="P80" s="114" t="s">
        <v>294</v>
      </c>
      <c r="Q80" s="122" t="s">
        <v>917</v>
      </c>
      <c r="R80" s="122" t="s">
        <v>918</v>
      </c>
      <c r="S80" s="116" t="s">
        <v>303</v>
      </c>
      <c r="T80" s="129"/>
      <c r="U80" s="129"/>
      <c r="V80" s="129"/>
      <c r="W80" s="129"/>
      <c r="X80" s="129"/>
      <c r="Y80" s="129"/>
      <c r="Z80" s="129"/>
      <c r="AA80" s="129"/>
    </row>
    <row r="81" ht="33.75" hidden="1" customHeight="1">
      <c r="A81" s="112" t="s">
        <v>278</v>
      </c>
      <c r="B81" s="112" t="s">
        <v>112</v>
      </c>
      <c r="C81" s="114" t="s">
        <v>922</v>
      </c>
      <c r="D81" s="112" t="s">
        <v>35</v>
      </c>
      <c r="E81" s="115" t="s">
        <v>924</v>
      </c>
      <c r="F81" s="116" t="s">
        <v>445</v>
      </c>
      <c r="G81" s="112" t="s">
        <v>285</v>
      </c>
      <c r="H81" s="114">
        <v>4.134201001E9</v>
      </c>
      <c r="I81" s="114" t="s">
        <v>98</v>
      </c>
      <c r="J81" s="119">
        <v>45702.0</v>
      </c>
      <c r="K81" s="119">
        <v>45707.0</v>
      </c>
      <c r="L81" s="114" t="s">
        <v>928</v>
      </c>
      <c r="M81" s="120"/>
      <c r="N81" s="120"/>
      <c r="O81" s="121" t="s">
        <v>929</v>
      </c>
      <c r="P81" s="120"/>
      <c r="Q81" s="122" t="s">
        <v>930</v>
      </c>
      <c r="R81" s="122" t="s">
        <v>932</v>
      </c>
      <c r="S81" s="116" t="s">
        <v>303</v>
      </c>
      <c r="T81" s="129"/>
      <c r="U81" s="129"/>
      <c r="V81" s="129"/>
      <c r="W81" s="129"/>
      <c r="X81" s="129"/>
      <c r="Y81" s="129"/>
      <c r="Z81" s="129"/>
      <c r="AA81" s="129"/>
    </row>
    <row r="82" ht="33.75" customHeight="1">
      <c r="A82" s="112" t="s">
        <v>278</v>
      </c>
      <c r="B82" s="112" t="s">
        <v>112</v>
      </c>
      <c r="C82" s="114" t="s">
        <v>937</v>
      </c>
      <c r="D82" s="112" t="s">
        <v>35</v>
      </c>
      <c r="E82" s="115" t="s">
        <v>939</v>
      </c>
      <c r="F82" s="116" t="s">
        <v>283</v>
      </c>
      <c r="G82" s="112" t="s">
        <v>517</v>
      </c>
      <c r="H82" s="114">
        <v>4.631501001E9</v>
      </c>
      <c r="I82" s="136" t="s">
        <v>610</v>
      </c>
      <c r="J82" s="119">
        <v>45742.0</v>
      </c>
      <c r="K82" s="119">
        <v>45791.0</v>
      </c>
      <c r="L82" s="114" t="s">
        <v>941</v>
      </c>
      <c r="M82" s="120"/>
      <c r="N82" s="120"/>
      <c r="O82" s="121" t="s">
        <v>942</v>
      </c>
      <c r="P82" s="114" t="s">
        <v>294</v>
      </c>
      <c r="Q82" s="122" t="s">
        <v>944</v>
      </c>
      <c r="R82" s="122" t="s">
        <v>947</v>
      </c>
      <c r="S82" s="116" t="s">
        <v>303</v>
      </c>
      <c r="T82" s="2"/>
      <c r="U82" s="2"/>
      <c r="V82" s="2"/>
      <c r="W82" s="2"/>
      <c r="X82" s="2"/>
      <c r="Y82" s="2"/>
      <c r="Z82" s="2"/>
      <c r="AA82" s="2"/>
    </row>
    <row r="83" ht="33.75" customHeight="1">
      <c r="A83" s="112" t="s">
        <v>278</v>
      </c>
      <c r="B83" s="112" t="s">
        <v>112</v>
      </c>
      <c r="C83" s="114" t="s">
        <v>937</v>
      </c>
      <c r="D83" s="112" t="s">
        <v>35</v>
      </c>
      <c r="E83" s="115" t="s">
        <v>939</v>
      </c>
      <c r="F83" s="116" t="s">
        <v>283</v>
      </c>
      <c r="G83" s="112" t="s">
        <v>517</v>
      </c>
      <c r="H83" s="114">
        <v>1.206000001E9</v>
      </c>
      <c r="I83" s="114" t="s">
        <v>168</v>
      </c>
      <c r="J83" s="119">
        <v>45742.0</v>
      </c>
      <c r="K83" s="119">
        <v>45784.0</v>
      </c>
      <c r="L83" s="114" t="s">
        <v>955</v>
      </c>
      <c r="M83" s="120"/>
      <c r="N83" s="120"/>
      <c r="O83" s="121" t="s">
        <v>956</v>
      </c>
      <c r="P83" s="114" t="s">
        <v>294</v>
      </c>
      <c r="Q83" s="122" t="s">
        <v>944</v>
      </c>
      <c r="R83" s="122" t="s">
        <v>947</v>
      </c>
      <c r="S83" s="116" t="s">
        <v>303</v>
      </c>
      <c r="T83" s="2"/>
      <c r="U83" s="2"/>
      <c r="V83" s="2"/>
      <c r="W83" s="2"/>
      <c r="X83" s="2"/>
      <c r="Y83" s="2"/>
      <c r="Z83" s="2"/>
      <c r="AA83" s="2"/>
    </row>
    <row r="84" ht="33.75" customHeight="1">
      <c r="A84" s="112" t="s">
        <v>278</v>
      </c>
      <c r="B84" s="112" t="s">
        <v>112</v>
      </c>
      <c r="C84" s="114" t="s">
        <v>937</v>
      </c>
      <c r="D84" s="112" t="s">
        <v>35</v>
      </c>
      <c r="E84" s="115" t="s">
        <v>939</v>
      </c>
      <c r="F84" s="116" t="s">
        <v>283</v>
      </c>
      <c r="G84" s="112" t="s">
        <v>517</v>
      </c>
      <c r="H84" s="114">
        <v>4.139601001E9</v>
      </c>
      <c r="I84" s="114" t="s">
        <v>90</v>
      </c>
      <c r="J84" s="119">
        <v>45742.0</v>
      </c>
      <c r="K84" s="119">
        <v>45784.0</v>
      </c>
      <c r="L84" s="114" t="s">
        <v>961</v>
      </c>
      <c r="M84" s="120"/>
      <c r="N84" s="120"/>
      <c r="O84" s="121" t="s">
        <v>963</v>
      </c>
      <c r="P84" s="114" t="s">
        <v>294</v>
      </c>
      <c r="Q84" s="122" t="s">
        <v>944</v>
      </c>
      <c r="R84" s="122" t="s">
        <v>947</v>
      </c>
      <c r="S84" s="116" t="s">
        <v>303</v>
      </c>
      <c r="T84" s="2"/>
      <c r="U84" s="2"/>
      <c r="V84" s="2"/>
      <c r="W84" s="2"/>
      <c r="X84" s="2"/>
      <c r="Y84" s="2"/>
      <c r="Z84" s="2"/>
      <c r="AA84" s="2"/>
    </row>
    <row r="85" ht="33.75" customHeight="1">
      <c r="A85" s="112" t="s">
        <v>278</v>
      </c>
      <c r="B85" s="112" t="s">
        <v>112</v>
      </c>
      <c r="C85" s="114" t="s">
        <v>937</v>
      </c>
      <c r="D85" s="112" t="s">
        <v>35</v>
      </c>
      <c r="E85" s="115" t="s">
        <v>939</v>
      </c>
      <c r="F85" s="116" t="s">
        <v>283</v>
      </c>
      <c r="G85" s="112" t="s">
        <v>517</v>
      </c>
      <c r="H85" s="114">
        <v>4.079001001E9</v>
      </c>
      <c r="I85" s="114" t="s">
        <v>37</v>
      </c>
      <c r="J85" s="119">
        <v>45742.0</v>
      </c>
      <c r="K85" s="119">
        <v>45762.0</v>
      </c>
      <c r="L85" s="114" t="s">
        <v>969</v>
      </c>
      <c r="M85" s="120"/>
      <c r="N85" s="114" t="s">
        <v>970</v>
      </c>
      <c r="O85" s="121" t="s">
        <v>971</v>
      </c>
      <c r="P85" s="114" t="s">
        <v>972</v>
      </c>
      <c r="Q85" s="122" t="s">
        <v>944</v>
      </c>
      <c r="R85" s="122" t="s">
        <v>947</v>
      </c>
      <c r="S85" s="116" t="s">
        <v>303</v>
      </c>
      <c r="T85" s="2"/>
      <c r="U85" s="2"/>
      <c r="V85" s="2"/>
      <c r="W85" s="2"/>
      <c r="X85" s="2"/>
      <c r="Y85" s="2"/>
      <c r="Z85" s="2"/>
      <c r="AA85" s="2"/>
    </row>
    <row r="86" ht="33.75" customHeight="1">
      <c r="A86" s="112" t="s">
        <v>278</v>
      </c>
      <c r="B86" s="112" t="s">
        <v>112</v>
      </c>
      <c r="C86" s="114" t="s">
        <v>937</v>
      </c>
      <c r="D86" s="112" t="s">
        <v>35</v>
      </c>
      <c r="E86" s="115" t="s">
        <v>939</v>
      </c>
      <c r="F86" s="116" t="s">
        <v>283</v>
      </c>
      <c r="G86" s="112" t="s">
        <v>517</v>
      </c>
      <c r="H86" s="114">
        <v>4.102101001E9</v>
      </c>
      <c r="I86" s="114" t="s">
        <v>37</v>
      </c>
      <c r="J86" s="119">
        <v>45742.0</v>
      </c>
      <c r="K86" s="119">
        <v>45763.0</v>
      </c>
      <c r="L86" s="114" t="s">
        <v>977</v>
      </c>
      <c r="M86" s="120"/>
      <c r="N86" s="114" t="s">
        <v>979</v>
      </c>
      <c r="O86" s="121" t="s">
        <v>981</v>
      </c>
      <c r="P86" s="114" t="s">
        <v>982</v>
      </c>
      <c r="Q86" s="122" t="s">
        <v>944</v>
      </c>
      <c r="R86" s="122" t="s">
        <v>947</v>
      </c>
      <c r="S86" s="116" t="s">
        <v>303</v>
      </c>
      <c r="T86" s="2"/>
      <c r="U86" s="2"/>
      <c r="V86" s="2"/>
      <c r="W86" s="2"/>
      <c r="X86" s="2"/>
      <c r="Y86" s="2"/>
      <c r="Z86" s="2"/>
      <c r="AA86" s="2"/>
    </row>
    <row r="87" ht="33.75" customHeight="1">
      <c r="A87" s="112" t="s">
        <v>278</v>
      </c>
      <c r="B87" s="112" t="s">
        <v>112</v>
      </c>
      <c r="C87" s="114" t="s">
        <v>937</v>
      </c>
      <c r="D87" s="112" t="s">
        <v>35</v>
      </c>
      <c r="E87" s="115" t="s">
        <v>939</v>
      </c>
      <c r="F87" s="116" t="s">
        <v>283</v>
      </c>
      <c r="G87" s="112" t="s">
        <v>517</v>
      </c>
      <c r="H87" s="114">
        <v>3.942001001E9</v>
      </c>
      <c r="I87" s="114" t="s">
        <v>70</v>
      </c>
      <c r="J87" s="119">
        <v>45742.0</v>
      </c>
      <c r="K87" s="119">
        <v>45769.0</v>
      </c>
      <c r="L87" s="114" t="s">
        <v>984</v>
      </c>
      <c r="M87" s="120"/>
      <c r="N87" s="120"/>
      <c r="O87" s="121" t="s">
        <v>985</v>
      </c>
      <c r="P87" s="120"/>
      <c r="Q87" s="122" t="s">
        <v>944</v>
      </c>
      <c r="R87" s="122" t="s">
        <v>947</v>
      </c>
      <c r="S87" s="116" t="s">
        <v>303</v>
      </c>
      <c r="T87" s="2"/>
      <c r="U87" s="2"/>
      <c r="V87" s="2"/>
      <c r="W87" s="2"/>
      <c r="X87" s="2"/>
      <c r="Y87" s="2"/>
      <c r="Z87" s="2"/>
      <c r="AA87" s="2"/>
    </row>
    <row r="88" ht="33.75" customHeight="1">
      <c r="A88" s="112" t="s">
        <v>278</v>
      </c>
      <c r="B88" s="112" t="s">
        <v>112</v>
      </c>
      <c r="C88" s="114" t="s">
        <v>937</v>
      </c>
      <c r="D88" s="112" t="s">
        <v>35</v>
      </c>
      <c r="E88" s="115" t="s">
        <v>939</v>
      </c>
      <c r="F88" s="116" t="s">
        <v>283</v>
      </c>
      <c r="G88" s="112" t="s">
        <v>517</v>
      </c>
      <c r="H88" s="114">
        <v>1.299000006E9</v>
      </c>
      <c r="I88" s="114" t="s">
        <v>177</v>
      </c>
      <c r="J88" s="119">
        <v>45742.0</v>
      </c>
      <c r="K88" s="119">
        <v>45761.0</v>
      </c>
      <c r="L88" s="114" t="s">
        <v>992</v>
      </c>
      <c r="M88" s="120"/>
      <c r="N88" s="120"/>
      <c r="O88" s="121" t="s">
        <v>994</v>
      </c>
      <c r="P88" s="114" t="s">
        <v>294</v>
      </c>
      <c r="Q88" s="122" t="s">
        <v>944</v>
      </c>
      <c r="R88" s="122" t="s">
        <v>947</v>
      </c>
      <c r="S88" s="116" t="s">
        <v>303</v>
      </c>
      <c r="T88" s="2"/>
      <c r="U88" s="2"/>
      <c r="V88" s="2"/>
      <c r="W88" s="2"/>
      <c r="X88" s="2"/>
      <c r="Y88" s="2"/>
      <c r="Z88" s="2"/>
      <c r="AA88" s="2"/>
    </row>
    <row r="89" ht="33.75" customHeight="1">
      <c r="A89" s="112" t="s">
        <v>278</v>
      </c>
      <c r="B89" s="112" t="s">
        <v>112</v>
      </c>
      <c r="C89" s="114" t="s">
        <v>937</v>
      </c>
      <c r="D89" s="112" t="s">
        <v>35</v>
      </c>
      <c r="E89" s="115" t="s">
        <v>939</v>
      </c>
      <c r="F89" s="116" t="s">
        <v>283</v>
      </c>
      <c r="G89" s="112" t="s">
        <v>517</v>
      </c>
      <c r="H89" s="114">
        <v>4.134201001E9</v>
      </c>
      <c r="I89" s="114" t="s">
        <v>98</v>
      </c>
      <c r="J89" s="119">
        <v>45742.0</v>
      </c>
      <c r="K89" s="119">
        <v>45750.0</v>
      </c>
      <c r="L89" s="114" t="s">
        <v>996</v>
      </c>
      <c r="M89" s="120"/>
      <c r="N89" s="120"/>
      <c r="O89" s="121" t="s">
        <v>998</v>
      </c>
      <c r="P89" s="120"/>
      <c r="Q89" s="122" t="s">
        <v>944</v>
      </c>
      <c r="R89" s="122" t="s">
        <v>947</v>
      </c>
      <c r="S89" s="116" t="s">
        <v>303</v>
      </c>
      <c r="T89" s="2"/>
      <c r="U89" s="2"/>
      <c r="V89" s="2"/>
      <c r="W89" s="2"/>
      <c r="X89" s="2"/>
      <c r="Y89" s="2"/>
      <c r="Z89" s="2"/>
      <c r="AA89" s="2"/>
    </row>
    <row r="90" ht="33.75" customHeight="1">
      <c r="A90" s="112" t="s">
        <v>278</v>
      </c>
      <c r="B90" s="112" t="s">
        <v>112</v>
      </c>
      <c r="C90" s="114" t="s">
        <v>937</v>
      </c>
      <c r="D90" s="112" t="s">
        <v>35</v>
      </c>
      <c r="E90" s="115" t="s">
        <v>939</v>
      </c>
      <c r="F90" s="116" t="s">
        <v>283</v>
      </c>
      <c r="G90" s="112" t="s">
        <v>517</v>
      </c>
      <c r="H90" s="114">
        <v>4.123101001E9</v>
      </c>
      <c r="I90" s="114" t="s">
        <v>124</v>
      </c>
      <c r="J90" s="119">
        <v>45742.0</v>
      </c>
      <c r="K90" s="119">
        <v>45757.0</v>
      </c>
      <c r="L90" s="114" t="s">
        <v>1004</v>
      </c>
      <c r="M90" s="120"/>
      <c r="N90" s="120"/>
      <c r="O90" s="121" t="s">
        <v>1006</v>
      </c>
      <c r="P90" s="120"/>
      <c r="Q90" s="122" t="s">
        <v>944</v>
      </c>
      <c r="R90" s="122" t="s">
        <v>947</v>
      </c>
      <c r="S90" s="116" t="s">
        <v>303</v>
      </c>
      <c r="T90" s="2"/>
      <c r="U90" s="2"/>
      <c r="V90" s="2"/>
      <c r="W90" s="2"/>
      <c r="X90" s="2"/>
      <c r="Y90" s="2"/>
      <c r="Z90" s="2"/>
      <c r="AA90" s="2"/>
    </row>
    <row r="91" ht="33.75" customHeight="1">
      <c r="A91" s="112" t="s">
        <v>278</v>
      </c>
      <c r="B91" s="112" t="s">
        <v>112</v>
      </c>
      <c r="C91" s="114" t="s">
        <v>937</v>
      </c>
      <c r="D91" s="112" t="s">
        <v>35</v>
      </c>
      <c r="E91" s="115" t="s">
        <v>939</v>
      </c>
      <c r="F91" s="116" t="s">
        <v>283</v>
      </c>
      <c r="G91" s="112" t="s">
        <v>517</v>
      </c>
      <c r="H91" s="114">
        <v>4.139301001E9</v>
      </c>
      <c r="I91" s="114" t="s">
        <v>140</v>
      </c>
      <c r="J91" s="119">
        <v>45742.0</v>
      </c>
      <c r="K91" s="119">
        <v>45757.0</v>
      </c>
      <c r="L91" s="114" t="s">
        <v>1009</v>
      </c>
      <c r="M91" s="120"/>
      <c r="N91" s="120"/>
      <c r="O91" s="121" t="s">
        <v>1010</v>
      </c>
      <c r="P91" s="120"/>
      <c r="Q91" s="122" t="s">
        <v>944</v>
      </c>
      <c r="R91" s="122" t="s">
        <v>947</v>
      </c>
      <c r="S91" s="116" t="s">
        <v>303</v>
      </c>
      <c r="T91" s="2"/>
      <c r="U91" s="2"/>
      <c r="V91" s="2"/>
      <c r="W91" s="2"/>
      <c r="X91" s="2"/>
      <c r="Y91" s="2"/>
      <c r="Z91" s="2"/>
      <c r="AA91" s="2"/>
    </row>
    <row r="92" ht="33.75" customHeight="1">
      <c r="A92" s="112" t="s">
        <v>278</v>
      </c>
      <c r="B92" s="112" t="s">
        <v>112</v>
      </c>
      <c r="C92" s="114" t="s">
        <v>937</v>
      </c>
      <c r="D92" s="112" t="s">
        <v>35</v>
      </c>
      <c r="E92" s="115" t="s">
        <v>939</v>
      </c>
      <c r="F92" s="116" t="s">
        <v>283</v>
      </c>
      <c r="G92" s="112" t="s">
        <v>517</v>
      </c>
      <c r="H92" s="114">
        <v>4.078101001E9</v>
      </c>
      <c r="I92" s="114" t="s">
        <v>154</v>
      </c>
      <c r="J92" s="119">
        <v>45742.0</v>
      </c>
      <c r="K92" s="119">
        <v>45754.0</v>
      </c>
      <c r="L92" s="114" t="s">
        <v>1017</v>
      </c>
      <c r="M92" s="120"/>
      <c r="N92" s="120"/>
      <c r="O92" s="121" t="s">
        <v>1019</v>
      </c>
      <c r="P92" s="114" t="s">
        <v>294</v>
      </c>
      <c r="Q92" s="122" t="s">
        <v>944</v>
      </c>
      <c r="R92" s="122" t="s">
        <v>947</v>
      </c>
      <c r="S92" s="116" t="s">
        <v>303</v>
      </c>
      <c r="T92" s="2"/>
      <c r="U92" s="2"/>
      <c r="V92" s="2"/>
      <c r="W92" s="2"/>
      <c r="X92" s="2"/>
      <c r="Y92" s="2"/>
      <c r="Z92" s="2"/>
      <c r="AA92" s="2"/>
    </row>
    <row r="93" ht="33.75" customHeight="1">
      <c r="A93" s="112" t="s">
        <v>278</v>
      </c>
      <c r="B93" s="112" t="s">
        <v>112</v>
      </c>
      <c r="C93" s="114" t="s">
        <v>937</v>
      </c>
      <c r="D93" s="112" t="s">
        <v>35</v>
      </c>
      <c r="E93" s="115" t="s">
        <v>939</v>
      </c>
      <c r="F93" s="116" t="s">
        <v>283</v>
      </c>
      <c r="G93" s="112" t="s">
        <v>517</v>
      </c>
      <c r="H93" s="114">
        <v>4.139201001E9</v>
      </c>
      <c r="I93" s="114" t="s">
        <v>107</v>
      </c>
      <c r="J93" s="119">
        <v>45742.0</v>
      </c>
      <c r="K93" s="119">
        <v>45749.0</v>
      </c>
      <c r="L93" s="114" t="s">
        <v>1026</v>
      </c>
      <c r="M93" s="120"/>
      <c r="N93" s="120"/>
      <c r="O93" s="121" t="s">
        <v>1027</v>
      </c>
      <c r="P93" s="114" t="s">
        <v>294</v>
      </c>
      <c r="Q93" s="122" t="s">
        <v>944</v>
      </c>
      <c r="R93" s="122" t="s">
        <v>947</v>
      </c>
      <c r="S93" s="116" t="s">
        <v>303</v>
      </c>
      <c r="T93" s="2"/>
      <c r="U93" s="2"/>
      <c r="V93" s="2"/>
      <c r="W93" s="2"/>
      <c r="X93" s="2"/>
      <c r="Y93" s="2"/>
      <c r="Z93" s="2"/>
      <c r="AA93" s="2"/>
    </row>
    <row r="94" ht="33.75" customHeight="1">
      <c r="A94" s="112" t="s">
        <v>278</v>
      </c>
      <c r="B94" s="112" t="s">
        <v>112</v>
      </c>
      <c r="C94" s="114" t="s">
        <v>937</v>
      </c>
      <c r="D94" s="112" t="s">
        <v>35</v>
      </c>
      <c r="E94" s="115" t="s">
        <v>939</v>
      </c>
      <c r="F94" s="116" t="s">
        <v>283</v>
      </c>
      <c r="G94" s="112" t="s">
        <v>517</v>
      </c>
      <c r="H94" s="114">
        <v>1.29900001E9</v>
      </c>
      <c r="I94" s="114" t="s">
        <v>187</v>
      </c>
      <c r="J94" s="119">
        <v>45742.0</v>
      </c>
      <c r="K94" s="119">
        <v>45748.0</v>
      </c>
      <c r="L94" s="114" t="s">
        <v>1033</v>
      </c>
      <c r="M94" s="120"/>
      <c r="N94" s="114" t="s">
        <v>1034</v>
      </c>
      <c r="O94" s="121" t="s">
        <v>1035</v>
      </c>
      <c r="P94" s="114" t="s">
        <v>1036</v>
      </c>
      <c r="Q94" s="122" t="s">
        <v>944</v>
      </c>
      <c r="R94" s="122" t="s">
        <v>947</v>
      </c>
      <c r="S94" s="116" t="s">
        <v>303</v>
      </c>
      <c r="T94" s="2"/>
      <c r="U94" s="2"/>
      <c r="V94" s="2"/>
      <c r="W94" s="2"/>
      <c r="X94" s="2"/>
      <c r="Y94" s="2"/>
      <c r="Z94" s="2"/>
      <c r="AA94" s="2"/>
    </row>
    <row r="95" ht="33.75" customHeight="1">
      <c r="A95" s="112" t="s">
        <v>278</v>
      </c>
      <c r="B95" s="112" t="s">
        <v>112</v>
      </c>
      <c r="C95" s="114" t="s">
        <v>937</v>
      </c>
      <c r="D95" s="112" t="s">
        <v>35</v>
      </c>
      <c r="E95" s="115" t="s">
        <v>939</v>
      </c>
      <c r="F95" s="116" t="s">
        <v>283</v>
      </c>
      <c r="G95" s="112" t="s">
        <v>285</v>
      </c>
      <c r="H95" s="114">
        <v>4.123201001E9</v>
      </c>
      <c r="I95" s="114" t="s">
        <v>131</v>
      </c>
      <c r="J95" s="119">
        <v>45742.0</v>
      </c>
      <c r="K95" s="119">
        <v>45771.0</v>
      </c>
      <c r="L95" s="114" t="s">
        <v>1039</v>
      </c>
      <c r="M95" s="120"/>
      <c r="N95" s="114" t="s">
        <v>1040</v>
      </c>
      <c r="O95" s="121" t="s">
        <v>1041</v>
      </c>
      <c r="P95" s="114" t="s">
        <v>1042</v>
      </c>
      <c r="Q95" s="122" t="s">
        <v>944</v>
      </c>
      <c r="R95" s="122" t="s">
        <v>1044</v>
      </c>
      <c r="S95" s="116" t="s">
        <v>303</v>
      </c>
      <c r="T95" s="2"/>
      <c r="U95" s="2"/>
      <c r="V95" s="2"/>
      <c r="W95" s="2"/>
      <c r="X95" s="2"/>
      <c r="Y95" s="2"/>
      <c r="Z95" s="2"/>
      <c r="AA95" s="2"/>
    </row>
    <row r="96" ht="33.75" hidden="1" customHeight="1">
      <c r="A96" s="112" t="s">
        <v>278</v>
      </c>
      <c r="B96" s="112" t="s">
        <v>112</v>
      </c>
      <c r="C96" s="114" t="s">
        <v>1049</v>
      </c>
      <c r="D96" s="112" t="s">
        <v>35</v>
      </c>
      <c r="E96" s="115" t="s">
        <v>1050</v>
      </c>
      <c r="F96" s="116" t="s">
        <v>445</v>
      </c>
      <c r="G96" s="112" t="s">
        <v>285</v>
      </c>
      <c r="H96" s="114">
        <v>4.139201001E9</v>
      </c>
      <c r="I96" s="114" t="s">
        <v>107</v>
      </c>
      <c r="J96" s="119">
        <v>45742.0</v>
      </c>
      <c r="K96" s="119">
        <v>45750.0</v>
      </c>
      <c r="L96" s="114" t="s">
        <v>1052</v>
      </c>
      <c r="M96" s="120"/>
      <c r="N96" s="120"/>
      <c r="O96" s="121" t="s">
        <v>1053</v>
      </c>
      <c r="P96" s="120"/>
      <c r="Q96" s="122" t="s">
        <v>1054</v>
      </c>
      <c r="R96" s="122" t="s">
        <v>1055</v>
      </c>
      <c r="S96" s="116" t="s">
        <v>303</v>
      </c>
      <c r="T96" s="129"/>
      <c r="U96" s="129"/>
      <c r="V96" s="129"/>
      <c r="W96" s="129"/>
      <c r="X96" s="129"/>
      <c r="Y96" s="129"/>
      <c r="Z96" s="129"/>
      <c r="AA96" s="129"/>
    </row>
    <row r="97" ht="33.75" hidden="1" customHeight="1">
      <c r="A97" s="112" t="s">
        <v>278</v>
      </c>
      <c r="B97" s="112" t="s">
        <v>112</v>
      </c>
      <c r="C97" s="114" t="s">
        <v>1058</v>
      </c>
      <c r="D97" s="112" t="s">
        <v>35</v>
      </c>
      <c r="E97" s="115" t="s">
        <v>1059</v>
      </c>
      <c r="F97" s="116" t="s">
        <v>445</v>
      </c>
      <c r="G97" s="112" t="s">
        <v>285</v>
      </c>
      <c r="H97" s="114">
        <v>1.299000006E9</v>
      </c>
      <c r="I97" s="114" t="s">
        <v>177</v>
      </c>
      <c r="J97" s="119">
        <v>45754.0</v>
      </c>
      <c r="K97" s="119">
        <v>45761.0</v>
      </c>
      <c r="L97" s="114" t="s">
        <v>1060</v>
      </c>
      <c r="M97" s="120"/>
      <c r="N97" s="120"/>
      <c r="O97" s="121" t="s">
        <v>1061</v>
      </c>
      <c r="P97" s="120"/>
      <c r="Q97" s="122" t="s">
        <v>1063</v>
      </c>
      <c r="R97" s="122" t="s">
        <v>1065</v>
      </c>
      <c r="S97" s="116" t="s">
        <v>303</v>
      </c>
      <c r="T97" s="129"/>
      <c r="U97" s="129"/>
      <c r="V97" s="129"/>
      <c r="W97" s="129"/>
      <c r="X97" s="129"/>
      <c r="Y97" s="129"/>
      <c r="Z97" s="129"/>
      <c r="AA97" s="129"/>
    </row>
    <row r="98" ht="33.75" hidden="1" customHeight="1">
      <c r="A98" s="112" t="s">
        <v>278</v>
      </c>
      <c r="B98" s="112" t="s">
        <v>112</v>
      </c>
      <c r="C98" s="114" t="s">
        <v>1067</v>
      </c>
      <c r="D98" s="112" t="s">
        <v>35</v>
      </c>
      <c r="E98" s="115" t="s">
        <v>1068</v>
      </c>
      <c r="F98" s="116" t="s">
        <v>445</v>
      </c>
      <c r="G98" s="112" t="s">
        <v>285</v>
      </c>
      <c r="H98" s="114">
        <v>4.078101001E9</v>
      </c>
      <c r="I98" s="114" t="s">
        <v>154</v>
      </c>
      <c r="J98" s="119">
        <v>45747.0</v>
      </c>
      <c r="K98" s="119">
        <v>45754.0</v>
      </c>
      <c r="L98" s="114" t="s">
        <v>1069</v>
      </c>
      <c r="M98" s="120"/>
      <c r="N98" s="120"/>
      <c r="O98" s="121" t="s">
        <v>1070</v>
      </c>
      <c r="P98" s="120"/>
      <c r="Q98" s="122" t="s">
        <v>1054</v>
      </c>
      <c r="R98" s="122" t="s">
        <v>1071</v>
      </c>
      <c r="S98" s="116" t="s">
        <v>303</v>
      </c>
      <c r="T98" s="129"/>
      <c r="U98" s="129"/>
      <c r="V98" s="129"/>
      <c r="W98" s="129"/>
      <c r="X98" s="129"/>
      <c r="Y98" s="129"/>
      <c r="Z98" s="129"/>
      <c r="AA98" s="129"/>
    </row>
    <row r="99" ht="33.75" hidden="1" customHeight="1">
      <c r="A99" s="112" t="s">
        <v>278</v>
      </c>
      <c r="B99" s="112" t="s">
        <v>112</v>
      </c>
      <c r="C99" s="114" t="s">
        <v>1073</v>
      </c>
      <c r="D99" s="112" t="s">
        <v>35</v>
      </c>
      <c r="E99" s="115" t="s">
        <v>1075</v>
      </c>
      <c r="F99" s="116" t="s">
        <v>445</v>
      </c>
      <c r="G99" s="112" t="s">
        <v>285</v>
      </c>
      <c r="H99" s="114">
        <v>4.078101001E9</v>
      </c>
      <c r="I99" s="114" t="s">
        <v>154</v>
      </c>
      <c r="J99" s="119">
        <v>45775.0</v>
      </c>
      <c r="K99" s="119">
        <v>45778.0</v>
      </c>
      <c r="L99" s="114" t="s">
        <v>1077</v>
      </c>
      <c r="M99" s="120"/>
      <c r="N99" s="120"/>
      <c r="O99" s="121" t="s">
        <v>1078</v>
      </c>
      <c r="P99" s="120"/>
      <c r="Q99" s="122" t="s">
        <v>1063</v>
      </c>
      <c r="R99" s="122" t="s">
        <v>1080</v>
      </c>
      <c r="S99" s="116" t="s">
        <v>303</v>
      </c>
      <c r="T99" s="129"/>
      <c r="U99" s="129"/>
      <c r="V99" s="129"/>
      <c r="W99" s="129"/>
      <c r="X99" s="129"/>
      <c r="Y99" s="129"/>
      <c r="Z99" s="129"/>
      <c r="AA99" s="129"/>
    </row>
    <row r="100" ht="33.75" hidden="1" customHeight="1">
      <c r="A100" s="112" t="s">
        <v>278</v>
      </c>
      <c r="B100" s="112" t="s">
        <v>112</v>
      </c>
      <c r="C100" s="114" t="s">
        <v>1083</v>
      </c>
      <c r="D100" s="112" t="s">
        <v>35</v>
      </c>
      <c r="E100" s="115" t="s">
        <v>1084</v>
      </c>
      <c r="F100" s="116" t="s">
        <v>445</v>
      </c>
      <c r="G100" s="112" t="s">
        <v>285</v>
      </c>
      <c r="H100" s="114">
        <v>4.123101001E9</v>
      </c>
      <c r="I100" s="114" t="s">
        <v>124</v>
      </c>
      <c r="J100" s="119">
        <v>45775.0</v>
      </c>
      <c r="K100" s="119">
        <v>45776.0</v>
      </c>
      <c r="L100" s="114" t="s">
        <v>1085</v>
      </c>
      <c r="M100" s="120"/>
      <c r="N100" s="120"/>
      <c r="O100" s="121" t="s">
        <v>1086</v>
      </c>
      <c r="P100" s="120"/>
      <c r="Q100" s="122" t="s">
        <v>1087</v>
      </c>
      <c r="R100" s="122" t="s">
        <v>1088</v>
      </c>
      <c r="S100" s="116" t="s">
        <v>303</v>
      </c>
      <c r="T100" s="129"/>
      <c r="U100" s="129"/>
      <c r="V100" s="129"/>
      <c r="W100" s="129"/>
      <c r="X100" s="129"/>
      <c r="Y100" s="129"/>
      <c r="Z100" s="129"/>
      <c r="AA100" s="129"/>
    </row>
    <row r="101" ht="33.75" hidden="1" customHeight="1">
      <c r="A101" s="112" t="s">
        <v>278</v>
      </c>
      <c r="B101" s="112" t="s">
        <v>112</v>
      </c>
      <c r="C101" s="114" t="s">
        <v>1094</v>
      </c>
      <c r="D101" s="112" t="s">
        <v>35</v>
      </c>
      <c r="E101" s="115" t="s">
        <v>1095</v>
      </c>
      <c r="F101" s="116" t="s">
        <v>445</v>
      </c>
      <c r="G101" s="112" t="s">
        <v>285</v>
      </c>
      <c r="H101" s="114">
        <v>4.134201001E9</v>
      </c>
      <c r="I101" s="114" t="s">
        <v>98</v>
      </c>
      <c r="J101" s="120"/>
      <c r="K101" s="119">
        <v>45790.0</v>
      </c>
      <c r="L101" s="114" t="s">
        <v>1096</v>
      </c>
      <c r="M101" s="120"/>
      <c r="N101" s="120"/>
      <c r="O101" s="121" t="s">
        <v>1097</v>
      </c>
      <c r="P101" s="120"/>
      <c r="Q101" s="122" t="s">
        <v>1098</v>
      </c>
      <c r="R101" s="122" t="s">
        <v>1099</v>
      </c>
      <c r="S101" s="116" t="s">
        <v>303</v>
      </c>
      <c r="T101" s="129"/>
      <c r="U101" s="129"/>
      <c r="V101" s="129"/>
      <c r="W101" s="129"/>
      <c r="X101" s="129"/>
      <c r="Y101" s="129"/>
      <c r="Z101" s="129"/>
      <c r="AA101" s="129"/>
    </row>
    <row r="102" ht="33.75" hidden="1" customHeight="1">
      <c r="A102" s="112" t="s">
        <v>278</v>
      </c>
      <c r="B102" s="112" t="s">
        <v>112</v>
      </c>
      <c r="C102" s="114" t="s">
        <v>1100</v>
      </c>
      <c r="D102" s="112" t="s">
        <v>35</v>
      </c>
      <c r="E102" s="115" t="s">
        <v>1101</v>
      </c>
      <c r="F102" s="116" t="s">
        <v>445</v>
      </c>
      <c r="G102" s="112" t="s">
        <v>285</v>
      </c>
      <c r="H102" s="114">
        <v>1.206000001E9</v>
      </c>
      <c r="I102" s="114" t="s">
        <v>168</v>
      </c>
      <c r="J102" s="119">
        <v>45783.0</v>
      </c>
      <c r="K102" s="119">
        <v>45789.0</v>
      </c>
      <c r="L102" s="114" t="s">
        <v>1102</v>
      </c>
      <c r="M102" s="120"/>
      <c r="N102" s="120"/>
      <c r="O102" s="121" t="s">
        <v>1103</v>
      </c>
      <c r="P102" s="120"/>
      <c r="Q102" s="122" t="s">
        <v>1104</v>
      </c>
      <c r="R102" s="122" t="s">
        <v>1106</v>
      </c>
      <c r="S102" s="116" t="s">
        <v>303</v>
      </c>
      <c r="T102" s="129"/>
      <c r="U102" s="129"/>
      <c r="V102" s="129"/>
      <c r="W102" s="129"/>
      <c r="X102" s="129"/>
      <c r="Y102" s="129"/>
      <c r="Z102" s="129"/>
      <c r="AA102" s="129"/>
    </row>
    <row r="103" ht="33.75" hidden="1" customHeight="1">
      <c r="A103" s="112" t="s">
        <v>278</v>
      </c>
      <c r="B103" s="112" t="s">
        <v>112</v>
      </c>
      <c r="C103" s="114" t="s">
        <v>1108</v>
      </c>
      <c r="D103" s="112" t="s">
        <v>35</v>
      </c>
      <c r="E103" s="115" t="s">
        <v>1109</v>
      </c>
      <c r="F103" s="116" t="s">
        <v>445</v>
      </c>
      <c r="G103" s="112" t="s">
        <v>285</v>
      </c>
      <c r="H103" s="114">
        <v>4.079001001E9</v>
      </c>
      <c r="I103" s="114" t="s">
        <v>37</v>
      </c>
      <c r="J103" s="119">
        <v>45805.0</v>
      </c>
      <c r="K103" s="119">
        <v>45807.0</v>
      </c>
      <c r="L103" s="114" t="s">
        <v>1111</v>
      </c>
      <c r="M103" s="120"/>
      <c r="N103" s="120"/>
      <c r="O103" s="121" t="s">
        <v>1112</v>
      </c>
      <c r="P103" s="120"/>
      <c r="Q103" s="122" t="s">
        <v>1113</v>
      </c>
      <c r="R103" s="122" t="s">
        <v>1115</v>
      </c>
      <c r="S103" s="116" t="s">
        <v>303</v>
      </c>
      <c r="T103" s="129"/>
      <c r="U103" s="129"/>
      <c r="V103" s="129"/>
      <c r="W103" s="129"/>
      <c r="X103" s="129"/>
      <c r="Y103" s="129"/>
      <c r="Z103" s="129"/>
      <c r="AA103" s="129"/>
    </row>
    <row r="104" ht="33.75" hidden="1" customHeight="1">
      <c r="A104" s="112" t="s">
        <v>278</v>
      </c>
      <c r="B104" s="112" t="s">
        <v>112</v>
      </c>
      <c r="C104" s="114" t="s">
        <v>1120</v>
      </c>
      <c r="D104" s="112" t="s">
        <v>35</v>
      </c>
      <c r="E104" s="115" t="s">
        <v>1109</v>
      </c>
      <c r="F104" s="116" t="s">
        <v>445</v>
      </c>
      <c r="G104" s="112" t="s">
        <v>285</v>
      </c>
      <c r="H104" s="114">
        <v>1.206000001E9</v>
      </c>
      <c r="I104" s="114" t="s">
        <v>168</v>
      </c>
      <c r="J104" s="119">
        <v>45806.0</v>
      </c>
      <c r="K104" s="119">
        <v>45810.0</v>
      </c>
      <c r="L104" s="114" t="s">
        <v>1121</v>
      </c>
      <c r="M104" s="120"/>
      <c r="N104" s="120"/>
      <c r="O104" s="121" t="s">
        <v>1122</v>
      </c>
      <c r="P104" s="120"/>
      <c r="Q104" s="122" t="s">
        <v>1123</v>
      </c>
      <c r="R104" s="122" t="s">
        <v>1125</v>
      </c>
      <c r="S104" s="116" t="s">
        <v>303</v>
      </c>
      <c r="T104" s="129"/>
      <c r="U104" s="129"/>
      <c r="V104" s="129"/>
      <c r="W104" s="129"/>
      <c r="X104" s="129"/>
      <c r="Y104" s="129"/>
      <c r="Z104" s="129"/>
      <c r="AA104" s="129"/>
    </row>
    <row r="105" ht="33.75" hidden="1" customHeight="1">
      <c r="A105" s="112" t="s">
        <v>278</v>
      </c>
      <c r="B105" s="112" t="s">
        <v>112</v>
      </c>
      <c r="C105" s="114" t="s">
        <v>1127</v>
      </c>
      <c r="D105" s="112" t="s">
        <v>35</v>
      </c>
      <c r="E105" s="115" t="s">
        <v>1129</v>
      </c>
      <c r="F105" s="116" t="s">
        <v>445</v>
      </c>
      <c r="G105" s="112" t="s">
        <v>517</v>
      </c>
      <c r="H105" s="114">
        <v>4.139301001E9</v>
      </c>
      <c r="I105" s="114" t="s">
        <v>140</v>
      </c>
      <c r="J105" s="119">
        <v>45821.0</v>
      </c>
      <c r="K105" s="119">
        <v>45834.0</v>
      </c>
      <c r="L105" s="114" t="s">
        <v>1131</v>
      </c>
      <c r="M105" s="120"/>
      <c r="N105" s="120"/>
      <c r="O105" s="121" t="s">
        <v>1133</v>
      </c>
      <c r="P105" s="120"/>
      <c r="Q105" s="122" t="s">
        <v>1134</v>
      </c>
      <c r="R105" s="122" t="s">
        <v>1135</v>
      </c>
      <c r="S105" s="116" t="s">
        <v>303</v>
      </c>
      <c r="T105" s="129"/>
      <c r="U105" s="129"/>
      <c r="V105" s="129"/>
      <c r="W105" s="129"/>
      <c r="X105" s="129"/>
      <c r="Y105" s="129"/>
      <c r="Z105" s="129"/>
      <c r="AA105" s="129"/>
    </row>
    <row r="106" ht="33.75" hidden="1" customHeight="1">
      <c r="A106" s="112" t="s">
        <v>278</v>
      </c>
      <c r="B106" s="112" t="s">
        <v>112</v>
      </c>
      <c r="C106" s="114" t="s">
        <v>1136</v>
      </c>
      <c r="D106" s="112" t="s">
        <v>35</v>
      </c>
      <c r="E106" s="115" t="s">
        <v>1137</v>
      </c>
      <c r="F106" s="116" t="s">
        <v>445</v>
      </c>
      <c r="G106" s="112" t="s">
        <v>517</v>
      </c>
      <c r="H106" s="114">
        <v>4.123101001E9</v>
      </c>
      <c r="I106" s="114" t="s">
        <v>124</v>
      </c>
      <c r="J106" s="119">
        <v>45821.0</v>
      </c>
      <c r="K106" s="119">
        <v>45835.0</v>
      </c>
      <c r="L106" s="114" t="s">
        <v>1138</v>
      </c>
      <c r="M106" s="120"/>
      <c r="N106" s="114" t="s">
        <v>1139</v>
      </c>
      <c r="O106" s="121" t="s">
        <v>1141</v>
      </c>
      <c r="P106" s="114" t="s">
        <v>1142</v>
      </c>
      <c r="Q106" s="122" t="s">
        <v>1143</v>
      </c>
      <c r="R106" s="122" t="s">
        <v>1144</v>
      </c>
      <c r="S106" s="116" t="s">
        <v>303</v>
      </c>
      <c r="T106" s="129"/>
      <c r="U106" s="129"/>
      <c r="V106" s="129"/>
      <c r="W106" s="129"/>
      <c r="X106" s="129"/>
      <c r="Y106" s="129"/>
      <c r="Z106" s="129"/>
      <c r="AA106" s="129"/>
    </row>
    <row r="107" ht="33.75" customHeight="1">
      <c r="A107" s="112" t="s">
        <v>278</v>
      </c>
      <c r="B107" s="112" t="s">
        <v>112</v>
      </c>
      <c r="C107" s="114" t="s">
        <v>1147</v>
      </c>
      <c r="D107" s="112" t="s">
        <v>35</v>
      </c>
      <c r="E107" s="115" t="s">
        <v>1148</v>
      </c>
      <c r="F107" s="116" t="s">
        <v>283</v>
      </c>
      <c r="G107" s="112" t="s">
        <v>517</v>
      </c>
      <c r="H107" s="114">
        <v>4.079001001E9</v>
      </c>
      <c r="I107" s="114" t="s">
        <v>37</v>
      </c>
      <c r="J107" s="119">
        <v>45845.0</v>
      </c>
      <c r="K107" s="119">
        <v>45846.0</v>
      </c>
      <c r="L107" s="114" t="s">
        <v>1149</v>
      </c>
      <c r="M107" s="120"/>
      <c r="N107" s="120"/>
      <c r="O107" s="121" t="s">
        <v>1150</v>
      </c>
      <c r="P107" s="120"/>
      <c r="Q107" s="122" t="s">
        <v>1151</v>
      </c>
      <c r="R107" s="122" t="s">
        <v>1153</v>
      </c>
      <c r="S107" s="116" t="s">
        <v>303</v>
      </c>
      <c r="T107" s="2"/>
      <c r="U107" s="2"/>
      <c r="V107" s="2"/>
      <c r="W107" s="2"/>
      <c r="X107" s="2"/>
      <c r="Y107" s="2"/>
      <c r="Z107" s="2"/>
      <c r="AA107" s="2"/>
    </row>
    <row r="108" ht="33.75" customHeight="1">
      <c r="A108" s="112" t="s">
        <v>278</v>
      </c>
      <c r="B108" s="112" t="s">
        <v>112</v>
      </c>
      <c r="C108" s="114" t="s">
        <v>1147</v>
      </c>
      <c r="D108" s="112" t="s">
        <v>35</v>
      </c>
      <c r="E108" s="115" t="s">
        <v>1148</v>
      </c>
      <c r="F108" s="116" t="s">
        <v>283</v>
      </c>
      <c r="G108" s="112" t="s">
        <v>517</v>
      </c>
      <c r="H108" s="114">
        <v>4.102101001E9</v>
      </c>
      <c r="I108" s="114" t="s">
        <v>37</v>
      </c>
      <c r="J108" s="119">
        <v>45845.0</v>
      </c>
      <c r="K108" s="119">
        <v>45846.0</v>
      </c>
      <c r="L108" s="114" t="s">
        <v>1156</v>
      </c>
      <c r="M108" s="120"/>
      <c r="N108" s="120"/>
      <c r="O108" s="121" t="s">
        <v>1159</v>
      </c>
      <c r="P108" s="120"/>
      <c r="Q108" s="122" t="s">
        <v>1151</v>
      </c>
      <c r="R108" s="122" t="s">
        <v>1153</v>
      </c>
      <c r="S108" s="116" t="s">
        <v>303</v>
      </c>
      <c r="T108" s="2"/>
      <c r="U108" s="2"/>
      <c r="V108" s="2"/>
      <c r="W108" s="2"/>
      <c r="X108" s="2"/>
      <c r="Y108" s="2"/>
      <c r="Z108" s="2"/>
      <c r="AA108" s="2"/>
    </row>
    <row r="109" ht="33.75" customHeight="1">
      <c r="A109" s="112" t="s">
        <v>278</v>
      </c>
      <c r="B109" s="112" t="s">
        <v>112</v>
      </c>
      <c r="C109" s="114" t="s">
        <v>1147</v>
      </c>
      <c r="D109" s="112" t="s">
        <v>35</v>
      </c>
      <c r="E109" s="115" t="s">
        <v>1148</v>
      </c>
      <c r="F109" s="116" t="s">
        <v>283</v>
      </c>
      <c r="G109" s="112" t="s">
        <v>517</v>
      </c>
      <c r="H109" s="114">
        <v>3.942001001E9</v>
      </c>
      <c r="I109" s="114" t="s">
        <v>70</v>
      </c>
      <c r="J109" s="119">
        <v>45845.0</v>
      </c>
      <c r="K109" s="119">
        <v>45846.0</v>
      </c>
      <c r="L109" s="114" t="s">
        <v>1161</v>
      </c>
      <c r="M109" s="120"/>
      <c r="N109" s="120"/>
      <c r="O109" s="121" t="s">
        <v>1163</v>
      </c>
      <c r="P109" s="120"/>
      <c r="Q109" s="122" t="s">
        <v>1151</v>
      </c>
      <c r="R109" s="122" t="s">
        <v>1153</v>
      </c>
      <c r="S109" s="116" t="s">
        <v>303</v>
      </c>
      <c r="T109" s="2"/>
      <c r="U109" s="2"/>
      <c r="V109" s="2"/>
      <c r="W109" s="2"/>
      <c r="X109" s="2"/>
      <c r="Y109" s="2"/>
      <c r="Z109" s="2"/>
      <c r="AA109" s="2"/>
    </row>
    <row r="110" ht="33.75" customHeight="1">
      <c r="A110" s="112" t="s">
        <v>278</v>
      </c>
      <c r="B110" s="112" t="s">
        <v>112</v>
      </c>
      <c r="C110" s="114" t="s">
        <v>1147</v>
      </c>
      <c r="D110" s="112" t="s">
        <v>35</v>
      </c>
      <c r="E110" s="115" t="s">
        <v>1148</v>
      </c>
      <c r="F110" s="116" t="s">
        <v>283</v>
      </c>
      <c r="G110" s="112" t="s">
        <v>517</v>
      </c>
      <c r="H110" s="114">
        <v>1.299000006E9</v>
      </c>
      <c r="I110" s="114" t="s">
        <v>177</v>
      </c>
      <c r="J110" s="119">
        <v>45845.0</v>
      </c>
      <c r="K110" s="119">
        <v>45848.0</v>
      </c>
      <c r="L110" s="114" t="s">
        <v>1166</v>
      </c>
      <c r="M110" s="119">
        <v>45863.0</v>
      </c>
      <c r="N110" s="114" t="s">
        <v>1167</v>
      </c>
      <c r="O110" s="121" t="s">
        <v>1168</v>
      </c>
      <c r="P110" s="114" t="s">
        <v>1169</v>
      </c>
      <c r="Q110" s="122" t="s">
        <v>1151</v>
      </c>
      <c r="R110" s="122" t="s">
        <v>1153</v>
      </c>
      <c r="S110" s="116" t="s">
        <v>303</v>
      </c>
      <c r="T110" s="2"/>
      <c r="U110" s="2"/>
      <c r="V110" s="2"/>
      <c r="W110" s="2"/>
      <c r="X110" s="2"/>
      <c r="Y110" s="2"/>
      <c r="Z110" s="2"/>
      <c r="AA110" s="2"/>
    </row>
    <row r="111" ht="33.75" customHeight="1">
      <c r="A111" s="112" t="s">
        <v>278</v>
      </c>
      <c r="B111" s="112" t="s">
        <v>112</v>
      </c>
      <c r="C111" s="114" t="s">
        <v>1147</v>
      </c>
      <c r="D111" s="112" t="s">
        <v>35</v>
      </c>
      <c r="E111" s="115" t="s">
        <v>1148</v>
      </c>
      <c r="F111" s="116" t="s">
        <v>283</v>
      </c>
      <c r="G111" s="112" t="s">
        <v>517</v>
      </c>
      <c r="H111" s="114">
        <v>4.123201001E9</v>
      </c>
      <c r="I111" s="114" t="s">
        <v>131</v>
      </c>
      <c r="J111" s="119">
        <v>45845.0</v>
      </c>
      <c r="K111" s="119">
        <v>45866.0</v>
      </c>
      <c r="L111" s="114" t="s">
        <v>1171</v>
      </c>
      <c r="M111" s="120"/>
      <c r="N111" s="120"/>
      <c r="O111" s="121" t="s">
        <v>1172</v>
      </c>
      <c r="P111" s="120"/>
      <c r="Q111" s="122" t="s">
        <v>1151</v>
      </c>
      <c r="R111" s="122" t="s">
        <v>1153</v>
      </c>
      <c r="S111" s="116" t="s">
        <v>303</v>
      </c>
      <c r="T111" s="2"/>
      <c r="U111" s="2"/>
      <c r="V111" s="2"/>
      <c r="W111" s="2"/>
      <c r="X111" s="2"/>
      <c r="Y111" s="2"/>
      <c r="Z111" s="2"/>
      <c r="AA111" s="2"/>
    </row>
    <row r="112" ht="33.75" customHeight="1">
      <c r="A112" s="112" t="s">
        <v>278</v>
      </c>
      <c r="B112" s="112" t="s">
        <v>112</v>
      </c>
      <c r="C112" s="114" t="s">
        <v>1147</v>
      </c>
      <c r="D112" s="112" t="s">
        <v>35</v>
      </c>
      <c r="E112" s="115" t="s">
        <v>1148</v>
      </c>
      <c r="F112" s="116" t="s">
        <v>283</v>
      </c>
      <c r="G112" s="112" t="s">
        <v>517</v>
      </c>
      <c r="H112" s="114">
        <v>4.134201001E9</v>
      </c>
      <c r="I112" s="114" t="s">
        <v>98</v>
      </c>
      <c r="J112" s="119">
        <v>45845.0</v>
      </c>
      <c r="K112" s="119">
        <v>45869.0</v>
      </c>
      <c r="L112" s="114" t="s">
        <v>1176</v>
      </c>
      <c r="M112" s="120"/>
      <c r="N112" s="120"/>
      <c r="O112" s="121" t="s">
        <v>1177</v>
      </c>
      <c r="P112" s="120"/>
      <c r="Q112" s="122" t="s">
        <v>1151</v>
      </c>
      <c r="R112" s="122" t="s">
        <v>1153</v>
      </c>
      <c r="S112" s="116" t="s">
        <v>303</v>
      </c>
      <c r="T112" s="2"/>
      <c r="U112" s="2"/>
      <c r="V112" s="2"/>
      <c r="W112" s="2"/>
      <c r="X112" s="2"/>
      <c r="Y112" s="2"/>
      <c r="Z112" s="2"/>
      <c r="AA112" s="2"/>
    </row>
    <row r="113" ht="33.75" customHeight="1">
      <c r="A113" s="112" t="s">
        <v>278</v>
      </c>
      <c r="B113" s="112" t="s">
        <v>112</v>
      </c>
      <c r="C113" s="114" t="s">
        <v>1147</v>
      </c>
      <c r="D113" s="112" t="s">
        <v>35</v>
      </c>
      <c r="E113" s="115" t="s">
        <v>1148</v>
      </c>
      <c r="F113" s="116" t="s">
        <v>283</v>
      </c>
      <c r="G113" s="112" t="s">
        <v>517</v>
      </c>
      <c r="H113" s="114">
        <v>4.139301001E9</v>
      </c>
      <c r="I113" s="114" t="s">
        <v>140</v>
      </c>
      <c r="J113" s="119">
        <v>45845.0</v>
      </c>
      <c r="K113" s="119">
        <v>45859.0</v>
      </c>
      <c r="L113" s="114" t="s">
        <v>1179</v>
      </c>
      <c r="M113" s="120"/>
      <c r="N113" s="120"/>
      <c r="O113" s="121" t="s">
        <v>1180</v>
      </c>
      <c r="P113" s="120"/>
      <c r="Q113" s="122" t="s">
        <v>1151</v>
      </c>
      <c r="R113" s="122" t="s">
        <v>1153</v>
      </c>
      <c r="S113" s="116" t="s">
        <v>303</v>
      </c>
      <c r="T113" s="2"/>
      <c r="U113" s="2"/>
      <c r="V113" s="2"/>
      <c r="W113" s="2"/>
      <c r="X113" s="2"/>
      <c r="Y113" s="2"/>
      <c r="Z113" s="2"/>
      <c r="AA113" s="2"/>
    </row>
    <row r="114" ht="33.75" customHeight="1">
      <c r="A114" s="112" t="s">
        <v>278</v>
      </c>
      <c r="B114" s="112" t="s">
        <v>112</v>
      </c>
      <c r="C114" s="114" t="s">
        <v>1147</v>
      </c>
      <c r="D114" s="112" t="s">
        <v>35</v>
      </c>
      <c r="E114" s="115" t="s">
        <v>1148</v>
      </c>
      <c r="F114" s="116" t="s">
        <v>283</v>
      </c>
      <c r="G114" s="112" t="s">
        <v>517</v>
      </c>
      <c r="H114" s="114">
        <v>4.078101001E9</v>
      </c>
      <c r="I114" s="114" t="s">
        <v>154</v>
      </c>
      <c r="J114" s="119">
        <v>45845.0</v>
      </c>
      <c r="K114" s="119">
        <v>45881.0</v>
      </c>
      <c r="L114" s="114" t="s">
        <v>1184</v>
      </c>
      <c r="M114" s="119">
        <v>45923.0</v>
      </c>
      <c r="N114" s="114" t="s">
        <v>1185</v>
      </c>
      <c r="O114" s="121" t="s">
        <v>1186</v>
      </c>
      <c r="P114" s="114" t="s">
        <v>1187</v>
      </c>
      <c r="Q114" s="122" t="s">
        <v>1151</v>
      </c>
      <c r="R114" s="122" t="s">
        <v>1153</v>
      </c>
      <c r="S114" s="116" t="s">
        <v>303</v>
      </c>
      <c r="T114" s="2"/>
      <c r="U114" s="2"/>
      <c r="V114" s="2"/>
      <c r="W114" s="2"/>
      <c r="X114" s="2"/>
      <c r="Y114" s="2"/>
      <c r="Z114" s="2"/>
      <c r="AA114" s="2"/>
    </row>
    <row r="115" ht="33.75" customHeight="1">
      <c r="A115" s="112" t="s">
        <v>278</v>
      </c>
      <c r="B115" s="112" t="s">
        <v>112</v>
      </c>
      <c r="C115" s="114" t="s">
        <v>1147</v>
      </c>
      <c r="D115" s="112" t="s">
        <v>35</v>
      </c>
      <c r="E115" s="115" t="s">
        <v>1148</v>
      </c>
      <c r="F115" s="116" t="s">
        <v>283</v>
      </c>
      <c r="G115" s="112" t="s">
        <v>517</v>
      </c>
      <c r="H115" s="114">
        <v>4.139201001E9</v>
      </c>
      <c r="I115" s="114" t="s">
        <v>107</v>
      </c>
      <c r="J115" s="119">
        <v>45845.0</v>
      </c>
      <c r="K115" s="119">
        <v>45869.0</v>
      </c>
      <c r="L115" s="114" t="s">
        <v>1188</v>
      </c>
      <c r="M115" s="120"/>
      <c r="N115" s="120"/>
      <c r="O115" s="121" t="s">
        <v>1189</v>
      </c>
      <c r="P115" s="120"/>
      <c r="Q115" s="122" t="s">
        <v>1151</v>
      </c>
      <c r="R115" s="122" t="s">
        <v>1153</v>
      </c>
      <c r="S115" s="116" t="s">
        <v>303</v>
      </c>
      <c r="T115" s="2"/>
      <c r="U115" s="2"/>
      <c r="V115" s="2"/>
      <c r="W115" s="2"/>
      <c r="X115" s="2"/>
      <c r="Y115" s="2"/>
      <c r="Z115" s="2"/>
      <c r="AA115" s="2"/>
    </row>
    <row r="116" ht="33.75" customHeight="1">
      <c r="A116" s="112" t="s">
        <v>278</v>
      </c>
      <c r="B116" s="112" t="s">
        <v>112</v>
      </c>
      <c r="C116" s="114" t="s">
        <v>1147</v>
      </c>
      <c r="D116" s="112" t="s">
        <v>35</v>
      </c>
      <c r="E116" s="115" t="s">
        <v>1148</v>
      </c>
      <c r="F116" s="116" t="s">
        <v>283</v>
      </c>
      <c r="G116" s="112" t="s">
        <v>517</v>
      </c>
      <c r="H116" s="114">
        <v>1.29900001E9</v>
      </c>
      <c r="I116" s="114" t="s">
        <v>187</v>
      </c>
      <c r="J116" s="119">
        <v>45845.0</v>
      </c>
      <c r="K116" s="119">
        <v>45867.0</v>
      </c>
      <c r="L116" s="114" t="s">
        <v>1192</v>
      </c>
      <c r="M116" s="120"/>
      <c r="N116" s="120"/>
      <c r="O116" s="121" t="s">
        <v>1193</v>
      </c>
      <c r="P116" s="120"/>
      <c r="Q116" s="122" t="s">
        <v>1151</v>
      </c>
      <c r="R116" s="122" t="s">
        <v>1153</v>
      </c>
      <c r="S116" s="116" t="s">
        <v>303</v>
      </c>
      <c r="T116" s="2"/>
      <c r="U116" s="2"/>
      <c r="V116" s="2"/>
      <c r="W116" s="2"/>
      <c r="X116" s="2"/>
      <c r="Y116" s="2"/>
      <c r="Z116" s="2"/>
      <c r="AA116" s="2"/>
    </row>
    <row r="117" ht="33.75" customHeight="1">
      <c r="A117" s="112" t="s">
        <v>278</v>
      </c>
      <c r="B117" s="112" t="s">
        <v>112</v>
      </c>
      <c r="C117" s="114" t="s">
        <v>1147</v>
      </c>
      <c r="D117" s="112" t="s">
        <v>35</v>
      </c>
      <c r="E117" s="115" t="s">
        <v>1148</v>
      </c>
      <c r="F117" s="116" t="s">
        <v>283</v>
      </c>
      <c r="G117" s="112" t="s">
        <v>517</v>
      </c>
      <c r="H117" s="114">
        <v>4.123101001E9</v>
      </c>
      <c r="I117" s="114" t="s">
        <v>124</v>
      </c>
      <c r="J117" s="119">
        <v>45845.0</v>
      </c>
      <c r="K117" s="119">
        <v>45873.0</v>
      </c>
      <c r="L117" s="114" t="s">
        <v>1196</v>
      </c>
      <c r="M117" s="120"/>
      <c r="N117" s="120"/>
      <c r="O117" s="121" t="s">
        <v>1197</v>
      </c>
      <c r="P117" s="120"/>
      <c r="Q117" s="122" t="s">
        <v>1151</v>
      </c>
      <c r="R117" s="122" t="s">
        <v>1153</v>
      </c>
      <c r="S117" s="116" t="s">
        <v>303</v>
      </c>
      <c r="T117" s="2"/>
      <c r="U117" s="2"/>
      <c r="V117" s="2"/>
      <c r="W117" s="2"/>
      <c r="X117" s="2"/>
      <c r="Y117" s="2"/>
      <c r="Z117" s="2"/>
      <c r="AA117" s="2"/>
    </row>
    <row r="118" ht="33.75" customHeight="1">
      <c r="A118" s="112" t="s">
        <v>278</v>
      </c>
      <c r="B118" s="112" t="s">
        <v>112</v>
      </c>
      <c r="C118" s="114" t="s">
        <v>1147</v>
      </c>
      <c r="D118" s="112" t="s">
        <v>35</v>
      </c>
      <c r="E118" s="115" t="s">
        <v>1148</v>
      </c>
      <c r="F118" s="116" t="s">
        <v>283</v>
      </c>
      <c r="G118" s="112" t="s">
        <v>517</v>
      </c>
      <c r="H118" s="114">
        <v>4.139601001E9</v>
      </c>
      <c r="I118" s="114" t="s">
        <v>90</v>
      </c>
      <c r="J118" s="119">
        <v>45845.0</v>
      </c>
      <c r="K118" s="119">
        <v>45915.0</v>
      </c>
      <c r="L118" s="114" t="s">
        <v>1198</v>
      </c>
      <c r="M118" s="120"/>
      <c r="N118" s="120"/>
      <c r="O118" s="121" t="s">
        <v>1199</v>
      </c>
      <c r="P118" s="120"/>
      <c r="Q118" s="122" t="s">
        <v>1151</v>
      </c>
      <c r="R118" s="122" t="s">
        <v>1153</v>
      </c>
      <c r="S118" s="116" t="s">
        <v>303</v>
      </c>
      <c r="T118" s="2"/>
      <c r="U118" s="2"/>
      <c r="V118" s="2"/>
      <c r="W118" s="2"/>
      <c r="X118" s="2"/>
      <c r="Y118" s="2"/>
      <c r="Z118" s="2"/>
      <c r="AA118" s="2"/>
    </row>
    <row r="119" ht="33.75" customHeight="1">
      <c r="A119" s="112" t="s">
        <v>278</v>
      </c>
      <c r="B119" s="112" t="s">
        <v>112</v>
      </c>
      <c r="C119" s="114" t="s">
        <v>1147</v>
      </c>
      <c r="D119" s="112" t="s">
        <v>35</v>
      </c>
      <c r="E119" s="115" t="s">
        <v>1148</v>
      </c>
      <c r="F119" s="116" t="s">
        <v>283</v>
      </c>
      <c r="G119" s="112" t="s">
        <v>517</v>
      </c>
      <c r="H119" s="114">
        <v>1.206000001E9</v>
      </c>
      <c r="I119" s="114" t="s">
        <v>168</v>
      </c>
      <c r="J119" s="119">
        <v>45845.0</v>
      </c>
      <c r="K119" s="119">
        <v>45915.0</v>
      </c>
      <c r="L119" s="114" t="s">
        <v>1203</v>
      </c>
      <c r="M119" s="120"/>
      <c r="N119" s="120"/>
      <c r="O119" s="121" t="s">
        <v>1204</v>
      </c>
      <c r="P119" s="120"/>
      <c r="Q119" s="122" t="s">
        <v>1151</v>
      </c>
      <c r="R119" s="122" t="s">
        <v>1153</v>
      </c>
      <c r="S119" s="116" t="s">
        <v>303</v>
      </c>
      <c r="T119" s="2"/>
      <c r="U119" s="2"/>
      <c r="V119" s="2"/>
      <c r="W119" s="2"/>
      <c r="X119" s="2"/>
      <c r="Y119" s="2"/>
      <c r="Z119" s="2"/>
      <c r="AA119" s="2"/>
    </row>
    <row r="120" ht="33.75" customHeight="1">
      <c r="A120" s="112" t="s">
        <v>278</v>
      </c>
      <c r="B120" s="112" t="s">
        <v>112</v>
      </c>
      <c r="C120" s="114" t="s">
        <v>1147</v>
      </c>
      <c r="D120" s="112" t="s">
        <v>35</v>
      </c>
      <c r="E120" s="115" t="s">
        <v>1148</v>
      </c>
      <c r="F120" s="116" t="s">
        <v>283</v>
      </c>
      <c r="G120" s="112" t="s">
        <v>517</v>
      </c>
      <c r="H120" s="114">
        <v>4.631501001E9</v>
      </c>
      <c r="I120" s="136" t="s">
        <v>610</v>
      </c>
      <c r="J120" s="119">
        <v>45845.0</v>
      </c>
      <c r="K120" s="119">
        <v>45911.0</v>
      </c>
      <c r="L120" s="114" t="s">
        <v>1205</v>
      </c>
      <c r="M120" s="120"/>
      <c r="N120" s="120"/>
      <c r="O120" s="121" t="s">
        <v>1206</v>
      </c>
      <c r="P120" s="120"/>
      <c r="Q120" s="122" t="s">
        <v>1151</v>
      </c>
      <c r="R120" s="122" t="s">
        <v>1153</v>
      </c>
      <c r="S120" s="116" t="s">
        <v>303</v>
      </c>
      <c r="T120" s="2"/>
      <c r="U120" s="2"/>
      <c r="V120" s="2"/>
      <c r="W120" s="2"/>
      <c r="X120" s="2"/>
      <c r="Y120" s="2"/>
      <c r="Z120" s="2"/>
      <c r="AA120" s="2"/>
    </row>
    <row r="121" ht="33.75" hidden="1" customHeight="1">
      <c r="A121" s="112" t="s">
        <v>278</v>
      </c>
      <c r="B121" s="112" t="s">
        <v>112</v>
      </c>
      <c r="C121" s="114" t="s">
        <v>1208</v>
      </c>
      <c r="D121" s="112" t="s">
        <v>35</v>
      </c>
      <c r="E121" s="115" t="s">
        <v>1211</v>
      </c>
      <c r="F121" s="116" t="s">
        <v>445</v>
      </c>
      <c r="G121" s="112" t="s">
        <v>285</v>
      </c>
      <c r="H121" s="114">
        <v>4.139201001E9</v>
      </c>
      <c r="I121" s="114" t="s">
        <v>107</v>
      </c>
      <c r="J121" s="119">
        <v>45832.0</v>
      </c>
      <c r="K121" s="119">
        <v>45839.0</v>
      </c>
      <c r="L121" s="114" t="s">
        <v>1213</v>
      </c>
      <c r="M121" s="120"/>
      <c r="N121" s="120"/>
      <c r="O121" s="121" t="s">
        <v>1214</v>
      </c>
      <c r="P121" s="120"/>
      <c r="Q121" s="122" t="s">
        <v>1215</v>
      </c>
      <c r="R121" s="122" t="s">
        <v>1153</v>
      </c>
      <c r="S121" s="116" t="s">
        <v>303</v>
      </c>
      <c r="T121" s="129"/>
      <c r="U121" s="129"/>
      <c r="V121" s="129"/>
      <c r="W121" s="129"/>
      <c r="X121" s="129"/>
      <c r="Y121" s="129"/>
      <c r="Z121" s="129"/>
      <c r="AA121" s="129"/>
    </row>
    <row r="122" ht="33.75" hidden="1" customHeight="1">
      <c r="A122" s="170" t="s">
        <v>278</v>
      </c>
      <c r="B122" s="170" t="s">
        <v>112</v>
      </c>
      <c r="C122" s="136" t="s">
        <v>1218</v>
      </c>
      <c r="D122" s="170" t="s">
        <v>35</v>
      </c>
      <c r="E122" s="115" t="s">
        <v>1219</v>
      </c>
      <c r="F122" s="171" t="s">
        <v>445</v>
      </c>
      <c r="G122" s="170" t="s">
        <v>517</v>
      </c>
      <c r="H122" s="136">
        <v>4.079001001E9</v>
      </c>
      <c r="I122" s="114" t="s">
        <v>37</v>
      </c>
      <c r="J122" s="172">
        <v>45884.0</v>
      </c>
      <c r="K122" s="172">
        <v>45889.0</v>
      </c>
      <c r="L122" s="136" t="s">
        <v>1220</v>
      </c>
      <c r="M122" s="119">
        <v>45953.0</v>
      </c>
      <c r="N122" s="136" t="s">
        <v>1221</v>
      </c>
      <c r="O122" s="173" t="s">
        <v>1222</v>
      </c>
      <c r="P122" s="114" t="s">
        <v>1223</v>
      </c>
      <c r="Q122" s="174" t="s">
        <v>1224</v>
      </c>
      <c r="R122" s="174" t="s">
        <v>1226</v>
      </c>
      <c r="S122" s="116" t="s">
        <v>303</v>
      </c>
      <c r="T122" s="129"/>
      <c r="U122" s="129"/>
      <c r="V122" s="129"/>
      <c r="W122" s="129"/>
      <c r="X122" s="129"/>
      <c r="Y122" s="129"/>
      <c r="Z122" s="129"/>
      <c r="AA122" s="129"/>
    </row>
    <row r="123" ht="33.75" hidden="1" customHeight="1">
      <c r="A123" s="170" t="s">
        <v>278</v>
      </c>
      <c r="B123" s="170" t="s">
        <v>112</v>
      </c>
      <c r="C123" s="136" t="s">
        <v>1229</v>
      </c>
      <c r="D123" s="170" t="s">
        <v>35</v>
      </c>
      <c r="E123" s="175" t="s">
        <v>1230</v>
      </c>
      <c r="F123" s="171" t="s">
        <v>445</v>
      </c>
      <c r="G123" s="170" t="s">
        <v>517</v>
      </c>
      <c r="H123" s="114">
        <v>4.102101001E9</v>
      </c>
      <c r="I123" s="114" t="s">
        <v>37</v>
      </c>
      <c r="J123" s="172">
        <v>45905.0</v>
      </c>
      <c r="K123" s="172">
        <v>45911.0</v>
      </c>
      <c r="L123" s="136" t="s">
        <v>1231</v>
      </c>
      <c r="M123" s="176"/>
      <c r="N123" s="176"/>
      <c r="O123" s="121" t="s">
        <v>1232</v>
      </c>
      <c r="P123" s="176"/>
      <c r="Q123" s="174" t="s">
        <v>1233</v>
      </c>
      <c r="R123" s="174" t="s">
        <v>1234</v>
      </c>
      <c r="S123" s="171" t="s">
        <v>303</v>
      </c>
      <c r="T123" s="129"/>
      <c r="U123" s="129"/>
      <c r="V123" s="129"/>
      <c r="W123" s="129"/>
      <c r="X123" s="129"/>
      <c r="Y123" s="129"/>
      <c r="Z123" s="129"/>
      <c r="AA123" s="129"/>
    </row>
    <row r="124" ht="33.75" hidden="1" customHeight="1">
      <c r="A124" s="170" t="s">
        <v>278</v>
      </c>
      <c r="B124" s="170" t="s">
        <v>112</v>
      </c>
      <c r="C124" s="136" t="s">
        <v>1235</v>
      </c>
      <c r="D124" s="170" t="s">
        <v>35</v>
      </c>
      <c r="E124" s="175" t="s">
        <v>1236</v>
      </c>
      <c r="F124" s="171" t="s">
        <v>445</v>
      </c>
      <c r="G124" s="170" t="s">
        <v>517</v>
      </c>
      <c r="H124" s="114">
        <v>1.206000001E9</v>
      </c>
      <c r="I124" s="114" t="s">
        <v>168</v>
      </c>
      <c r="J124" s="172">
        <v>45888.0</v>
      </c>
      <c r="K124" s="172">
        <v>45891.0</v>
      </c>
      <c r="L124" s="136" t="s">
        <v>1238</v>
      </c>
      <c r="M124" s="176"/>
      <c r="N124" s="136" t="s">
        <v>1241</v>
      </c>
      <c r="O124" s="173" t="s">
        <v>1243</v>
      </c>
      <c r="P124" s="114" t="s">
        <v>1244</v>
      </c>
      <c r="Q124" s="174" t="s">
        <v>1245</v>
      </c>
      <c r="R124" s="174" t="s">
        <v>1246</v>
      </c>
      <c r="S124" s="171" t="s">
        <v>303</v>
      </c>
      <c r="T124" s="129"/>
      <c r="U124" s="129"/>
      <c r="V124" s="129"/>
      <c r="W124" s="129"/>
      <c r="X124" s="129"/>
      <c r="Y124" s="129"/>
      <c r="Z124" s="129"/>
      <c r="AA124" s="129"/>
    </row>
    <row r="125" ht="33.75" hidden="1" customHeight="1">
      <c r="A125" s="170" t="s">
        <v>278</v>
      </c>
      <c r="B125" s="170" t="s">
        <v>112</v>
      </c>
      <c r="C125" s="136" t="s">
        <v>1247</v>
      </c>
      <c r="D125" s="170" t="s">
        <v>35</v>
      </c>
      <c r="E125" s="115" t="s">
        <v>1248</v>
      </c>
      <c r="F125" s="171" t="s">
        <v>445</v>
      </c>
      <c r="G125" s="170" t="s">
        <v>517</v>
      </c>
      <c r="H125" s="136">
        <v>4.078101001E9</v>
      </c>
      <c r="I125" s="114" t="s">
        <v>154</v>
      </c>
      <c r="J125" s="172">
        <v>45929.0</v>
      </c>
      <c r="K125" s="172">
        <v>45932.0</v>
      </c>
      <c r="L125" s="136" t="s">
        <v>1251</v>
      </c>
      <c r="M125" s="177">
        <v>45954.0</v>
      </c>
      <c r="N125" s="136" t="s">
        <v>1252</v>
      </c>
      <c r="O125" s="173" t="s">
        <v>1254</v>
      </c>
      <c r="P125" s="136" t="s">
        <v>1255</v>
      </c>
      <c r="Q125" s="174" t="s">
        <v>1256</v>
      </c>
      <c r="R125" s="174" t="s">
        <v>1257</v>
      </c>
      <c r="S125" s="171" t="s">
        <v>303</v>
      </c>
      <c r="T125" s="129"/>
      <c r="U125" s="129"/>
      <c r="V125" s="129"/>
      <c r="W125" s="129"/>
      <c r="X125" s="129"/>
      <c r="Y125" s="129"/>
      <c r="Z125" s="129"/>
      <c r="AA125" s="129"/>
    </row>
    <row r="126" ht="33.75" customHeight="1">
      <c r="A126" s="170" t="s">
        <v>278</v>
      </c>
      <c r="B126" s="170" t="s">
        <v>112</v>
      </c>
      <c r="C126" s="136" t="s">
        <v>1258</v>
      </c>
      <c r="D126" s="170" t="s">
        <v>35</v>
      </c>
      <c r="E126" s="115" t="s">
        <v>1260</v>
      </c>
      <c r="F126" s="171" t="s">
        <v>283</v>
      </c>
      <c r="G126" s="170" t="s">
        <v>517</v>
      </c>
      <c r="H126" s="136">
        <v>4.079001001E9</v>
      </c>
      <c r="I126" s="114" t="s">
        <v>37</v>
      </c>
      <c r="J126" s="172">
        <v>45960.0</v>
      </c>
      <c r="K126" s="172">
        <v>45967.0</v>
      </c>
      <c r="L126" s="114" t="s">
        <v>1261</v>
      </c>
      <c r="M126" s="176"/>
      <c r="N126" s="136"/>
      <c r="O126" s="121" t="s">
        <v>1262</v>
      </c>
      <c r="P126" s="176"/>
      <c r="Q126" s="178" t="s">
        <v>1263</v>
      </c>
      <c r="R126" s="174" t="s">
        <v>1264</v>
      </c>
      <c r="S126" s="171" t="s">
        <v>303</v>
      </c>
      <c r="T126" s="2"/>
      <c r="U126" s="2"/>
      <c r="V126" s="2"/>
      <c r="W126" s="2"/>
      <c r="X126" s="2"/>
      <c r="Y126" s="2"/>
      <c r="Z126" s="2"/>
      <c r="AA126" s="2"/>
    </row>
    <row r="127" ht="33.75" customHeight="1">
      <c r="A127" s="170" t="s">
        <v>278</v>
      </c>
      <c r="B127" s="170" t="s">
        <v>112</v>
      </c>
      <c r="C127" s="136" t="s">
        <v>1258</v>
      </c>
      <c r="D127" s="170" t="s">
        <v>35</v>
      </c>
      <c r="E127" s="115" t="s">
        <v>1260</v>
      </c>
      <c r="F127" s="171" t="s">
        <v>283</v>
      </c>
      <c r="G127" s="170" t="s">
        <v>517</v>
      </c>
      <c r="H127" s="136">
        <v>4.102101001E9</v>
      </c>
      <c r="I127" s="114" t="s">
        <v>37</v>
      </c>
      <c r="J127" s="172">
        <v>45960.0</v>
      </c>
      <c r="K127" s="172">
        <v>45971.0</v>
      </c>
      <c r="L127" s="114" t="s">
        <v>1265</v>
      </c>
      <c r="M127" s="176"/>
      <c r="N127" s="136"/>
      <c r="O127" s="121" t="s">
        <v>1266</v>
      </c>
      <c r="P127" s="176"/>
      <c r="Q127" s="174" t="s">
        <v>1263</v>
      </c>
      <c r="R127" s="136"/>
      <c r="S127" s="171" t="s">
        <v>303</v>
      </c>
      <c r="T127" s="2"/>
      <c r="U127" s="2"/>
      <c r="V127" s="2"/>
      <c r="W127" s="2"/>
      <c r="X127" s="2"/>
      <c r="Y127" s="2"/>
      <c r="Z127" s="2"/>
      <c r="AA127" s="2"/>
    </row>
    <row r="128" ht="33.75" customHeight="1">
      <c r="A128" s="170" t="s">
        <v>278</v>
      </c>
      <c r="B128" s="170" t="s">
        <v>112</v>
      </c>
      <c r="C128" s="136" t="s">
        <v>1258</v>
      </c>
      <c r="D128" s="170" t="s">
        <v>35</v>
      </c>
      <c r="E128" s="115" t="s">
        <v>1260</v>
      </c>
      <c r="F128" s="171" t="s">
        <v>283</v>
      </c>
      <c r="G128" s="170" t="s">
        <v>517</v>
      </c>
      <c r="H128" s="136">
        <v>3.942001001E9</v>
      </c>
      <c r="I128" s="114" t="s">
        <v>70</v>
      </c>
      <c r="J128" s="172">
        <v>45960.0</v>
      </c>
      <c r="K128" s="172">
        <v>45971.0</v>
      </c>
      <c r="L128" s="114" t="s">
        <v>1268</v>
      </c>
      <c r="M128" s="176"/>
      <c r="N128" s="136"/>
      <c r="O128" s="121" t="s">
        <v>1269</v>
      </c>
      <c r="P128" s="176"/>
      <c r="Q128" s="178" t="s">
        <v>1263</v>
      </c>
      <c r="R128" s="174" t="s">
        <v>1270</v>
      </c>
      <c r="S128" s="171" t="s">
        <v>303</v>
      </c>
      <c r="T128" s="2"/>
      <c r="U128" s="2"/>
      <c r="V128" s="2"/>
      <c r="W128" s="2"/>
      <c r="X128" s="2"/>
      <c r="Y128" s="2"/>
      <c r="Z128" s="2"/>
      <c r="AA128" s="2"/>
    </row>
    <row r="129" ht="33.75" customHeight="1">
      <c r="A129" s="170" t="s">
        <v>278</v>
      </c>
      <c r="B129" s="170" t="s">
        <v>112</v>
      </c>
      <c r="C129" s="136" t="s">
        <v>1258</v>
      </c>
      <c r="D129" s="170" t="s">
        <v>35</v>
      </c>
      <c r="E129" s="115" t="s">
        <v>1260</v>
      </c>
      <c r="F129" s="171" t="s">
        <v>283</v>
      </c>
      <c r="G129" s="170" t="s">
        <v>517</v>
      </c>
      <c r="H129" s="136">
        <v>1.299000006E9</v>
      </c>
      <c r="I129" s="136" t="s">
        <v>177</v>
      </c>
      <c r="J129" s="172">
        <v>45960.0</v>
      </c>
      <c r="K129" s="172">
        <v>45971.0</v>
      </c>
      <c r="L129" s="114" t="s">
        <v>1271</v>
      </c>
      <c r="M129" s="177">
        <v>45987.0</v>
      </c>
      <c r="N129" s="136" t="s">
        <v>1272</v>
      </c>
      <c r="O129" s="121" t="s">
        <v>1273</v>
      </c>
      <c r="P129" s="114" t="s">
        <v>1274</v>
      </c>
      <c r="Q129" s="174" t="s">
        <v>1263</v>
      </c>
      <c r="R129" s="174" t="s">
        <v>1275</v>
      </c>
      <c r="S129" s="171" t="s">
        <v>303</v>
      </c>
      <c r="T129" s="2"/>
      <c r="U129" s="2"/>
      <c r="V129" s="2"/>
      <c r="W129" s="2"/>
      <c r="X129" s="2"/>
      <c r="Y129" s="2"/>
      <c r="Z129" s="2"/>
      <c r="AA129" s="2"/>
    </row>
    <row r="130" ht="33.75" customHeight="1">
      <c r="A130" s="170" t="s">
        <v>278</v>
      </c>
      <c r="B130" s="170" t="s">
        <v>112</v>
      </c>
      <c r="C130" s="136" t="s">
        <v>1258</v>
      </c>
      <c r="D130" s="170" t="s">
        <v>35</v>
      </c>
      <c r="E130" s="115" t="s">
        <v>1260</v>
      </c>
      <c r="F130" s="171" t="s">
        <v>283</v>
      </c>
      <c r="G130" s="170" t="s">
        <v>517</v>
      </c>
      <c r="H130" s="136">
        <v>4.123201001E9</v>
      </c>
      <c r="I130" s="114" t="s">
        <v>131</v>
      </c>
      <c r="J130" s="172">
        <v>45960.0</v>
      </c>
      <c r="K130" s="172">
        <v>45979.0</v>
      </c>
      <c r="L130" s="114" t="s">
        <v>1277</v>
      </c>
      <c r="M130" s="176"/>
      <c r="N130" s="136"/>
      <c r="O130" s="121" t="s">
        <v>1278</v>
      </c>
      <c r="P130" s="176"/>
      <c r="Q130" s="136"/>
      <c r="R130" s="174" t="s">
        <v>1279</v>
      </c>
      <c r="S130" s="171" t="s">
        <v>303</v>
      </c>
      <c r="T130" s="2"/>
      <c r="U130" s="2"/>
      <c r="V130" s="2"/>
      <c r="W130" s="2"/>
      <c r="X130" s="2"/>
      <c r="Y130" s="2"/>
      <c r="Z130" s="2"/>
      <c r="AA130" s="2"/>
    </row>
    <row r="131" ht="33.75" customHeight="1">
      <c r="A131" s="170" t="s">
        <v>278</v>
      </c>
      <c r="B131" s="170" t="s">
        <v>112</v>
      </c>
      <c r="C131" s="136" t="s">
        <v>1258</v>
      </c>
      <c r="D131" s="170" t="s">
        <v>35</v>
      </c>
      <c r="E131" s="115" t="s">
        <v>1260</v>
      </c>
      <c r="F131" s="171" t="s">
        <v>283</v>
      </c>
      <c r="G131" s="170" t="s">
        <v>517</v>
      </c>
      <c r="H131" s="136">
        <v>4.134201001E9</v>
      </c>
      <c r="I131" s="114" t="s">
        <v>98</v>
      </c>
      <c r="J131" s="172">
        <v>45960.0</v>
      </c>
      <c r="K131" s="172">
        <v>45974.0</v>
      </c>
      <c r="L131" s="114" t="s">
        <v>1280</v>
      </c>
      <c r="M131" s="176"/>
      <c r="N131" s="136"/>
      <c r="O131" s="121" t="s">
        <v>1281</v>
      </c>
      <c r="P131" s="176"/>
      <c r="Q131" s="136"/>
      <c r="R131" s="174" t="s">
        <v>1282</v>
      </c>
      <c r="S131" s="171" t="s">
        <v>303</v>
      </c>
      <c r="T131" s="2"/>
      <c r="U131" s="2"/>
      <c r="V131" s="2"/>
      <c r="W131" s="2"/>
      <c r="X131" s="2"/>
      <c r="Y131" s="2"/>
      <c r="Z131" s="2"/>
      <c r="AA131" s="2"/>
    </row>
    <row r="132" ht="33.75" customHeight="1">
      <c r="A132" s="170" t="s">
        <v>278</v>
      </c>
      <c r="B132" s="170" t="s">
        <v>112</v>
      </c>
      <c r="C132" s="136" t="s">
        <v>1258</v>
      </c>
      <c r="D132" s="170" t="s">
        <v>35</v>
      </c>
      <c r="E132" s="115" t="s">
        <v>1260</v>
      </c>
      <c r="F132" s="171" t="s">
        <v>283</v>
      </c>
      <c r="G132" s="170" t="s">
        <v>517</v>
      </c>
      <c r="H132" s="136">
        <v>4.139301001E9</v>
      </c>
      <c r="I132" s="114" t="s">
        <v>140</v>
      </c>
      <c r="J132" s="172">
        <v>45960.0</v>
      </c>
      <c r="K132" s="172">
        <v>45971.0</v>
      </c>
      <c r="L132" s="114" t="s">
        <v>1283</v>
      </c>
      <c r="M132" s="177">
        <v>45973.0</v>
      </c>
      <c r="N132" s="136"/>
      <c r="O132" s="173" t="s">
        <v>1285</v>
      </c>
      <c r="P132" s="176"/>
      <c r="Q132" s="174" t="s">
        <v>1263</v>
      </c>
      <c r="R132" s="174" t="s">
        <v>1286</v>
      </c>
      <c r="S132" s="171" t="s">
        <v>303</v>
      </c>
      <c r="T132" s="2"/>
      <c r="U132" s="2"/>
      <c r="V132" s="2"/>
      <c r="W132" s="2"/>
      <c r="X132" s="2"/>
      <c r="Y132" s="2"/>
      <c r="Z132" s="2"/>
      <c r="AA132" s="2"/>
    </row>
    <row r="133" ht="33.75" customHeight="1">
      <c r="A133" s="170" t="s">
        <v>278</v>
      </c>
      <c r="B133" s="170" t="s">
        <v>112</v>
      </c>
      <c r="C133" s="136" t="s">
        <v>1258</v>
      </c>
      <c r="D133" s="170" t="s">
        <v>35</v>
      </c>
      <c r="E133" s="115" t="s">
        <v>1260</v>
      </c>
      <c r="F133" s="171" t="s">
        <v>283</v>
      </c>
      <c r="G133" s="170" t="s">
        <v>517</v>
      </c>
      <c r="H133" s="136">
        <v>4.078101001E9</v>
      </c>
      <c r="I133" s="114" t="s">
        <v>154</v>
      </c>
      <c r="J133" s="172">
        <v>45960.0</v>
      </c>
      <c r="K133" s="172">
        <v>45971.0</v>
      </c>
      <c r="L133" s="114" t="s">
        <v>1290</v>
      </c>
      <c r="M133" s="172">
        <v>45973.0</v>
      </c>
      <c r="N133" s="136"/>
      <c r="O133" s="121" t="s">
        <v>1291</v>
      </c>
      <c r="P133" s="176"/>
      <c r="Q133" s="174" t="s">
        <v>1263</v>
      </c>
      <c r="R133" s="174" t="s">
        <v>1292</v>
      </c>
      <c r="S133" s="171" t="s">
        <v>303</v>
      </c>
      <c r="T133" s="2"/>
      <c r="U133" s="2"/>
      <c r="V133" s="2"/>
      <c r="W133" s="2"/>
      <c r="X133" s="2"/>
      <c r="Y133" s="2"/>
      <c r="Z133" s="2"/>
      <c r="AA133" s="2"/>
    </row>
    <row r="134" ht="33.75" customHeight="1">
      <c r="A134" s="170" t="s">
        <v>278</v>
      </c>
      <c r="B134" s="170" t="s">
        <v>112</v>
      </c>
      <c r="C134" s="136" t="s">
        <v>1258</v>
      </c>
      <c r="D134" s="170" t="s">
        <v>35</v>
      </c>
      <c r="E134" s="115" t="s">
        <v>1260</v>
      </c>
      <c r="F134" s="171" t="s">
        <v>283</v>
      </c>
      <c r="G134" s="170" t="s">
        <v>517</v>
      </c>
      <c r="H134" s="136">
        <v>4.139201001E9</v>
      </c>
      <c r="I134" s="114" t="s">
        <v>107</v>
      </c>
      <c r="J134" s="172">
        <v>45960.0</v>
      </c>
      <c r="K134" s="172">
        <v>45974.0</v>
      </c>
      <c r="L134" s="114" t="s">
        <v>1295</v>
      </c>
      <c r="M134" s="176"/>
      <c r="N134" s="136"/>
      <c r="O134" s="121" t="s">
        <v>1296</v>
      </c>
      <c r="P134" s="176"/>
      <c r="Q134" s="136"/>
      <c r="R134" s="174" t="s">
        <v>1297</v>
      </c>
      <c r="S134" s="171" t="s">
        <v>303</v>
      </c>
      <c r="T134" s="2"/>
      <c r="U134" s="2"/>
      <c r="V134" s="2"/>
      <c r="W134" s="2"/>
      <c r="X134" s="2"/>
      <c r="Y134" s="2"/>
      <c r="Z134" s="2"/>
      <c r="AA134" s="2"/>
    </row>
    <row r="135" ht="33.75" customHeight="1">
      <c r="A135" s="170" t="s">
        <v>278</v>
      </c>
      <c r="B135" s="170" t="s">
        <v>112</v>
      </c>
      <c r="C135" s="136" t="s">
        <v>1258</v>
      </c>
      <c r="D135" s="170" t="s">
        <v>35</v>
      </c>
      <c r="E135" s="115" t="s">
        <v>1260</v>
      </c>
      <c r="F135" s="171" t="s">
        <v>283</v>
      </c>
      <c r="G135" s="170" t="s">
        <v>517</v>
      </c>
      <c r="H135" s="136">
        <v>1.29900001E9</v>
      </c>
      <c r="I135" s="114" t="s">
        <v>187</v>
      </c>
      <c r="J135" s="172">
        <v>45960.0</v>
      </c>
      <c r="K135" s="172">
        <v>45979.0</v>
      </c>
      <c r="L135" s="114" t="s">
        <v>1299</v>
      </c>
      <c r="M135" s="176"/>
      <c r="N135" s="136"/>
      <c r="O135" s="121" t="s">
        <v>1300</v>
      </c>
      <c r="P135" s="176"/>
      <c r="Q135" s="136"/>
      <c r="R135" s="174" t="s">
        <v>1301</v>
      </c>
      <c r="S135" s="171" t="s">
        <v>303</v>
      </c>
      <c r="T135" s="2"/>
      <c r="U135" s="2"/>
      <c r="V135" s="2"/>
      <c r="W135" s="2"/>
      <c r="X135" s="2"/>
      <c r="Y135" s="2"/>
      <c r="Z135" s="2"/>
      <c r="AA135" s="2"/>
    </row>
    <row r="136" ht="33.75" customHeight="1">
      <c r="A136" s="170" t="s">
        <v>278</v>
      </c>
      <c r="B136" s="170" t="s">
        <v>112</v>
      </c>
      <c r="C136" s="136" t="s">
        <v>1258</v>
      </c>
      <c r="D136" s="170" t="s">
        <v>35</v>
      </c>
      <c r="E136" s="115" t="s">
        <v>1260</v>
      </c>
      <c r="F136" s="171" t="s">
        <v>283</v>
      </c>
      <c r="G136" s="170" t="s">
        <v>517</v>
      </c>
      <c r="H136" s="136">
        <v>4.123101001E9</v>
      </c>
      <c r="I136" s="114" t="s">
        <v>124</v>
      </c>
      <c r="J136" s="172">
        <v>45960.0</v>
      </c>
      <c r="K136" s="172">
        <v>46013.0</v>
      </c>
      <c r="L136" s="114" t="s">
        <v>1302</v>
      </c>
      <c r="M136" s="172">
        <v>46086.0</v>
      </c>
      <c r="N136" s="114" t="s">
        <v>1303</v>
      </c>
      <c r="O136" s="121" t="s">
        <v>1304</v>
      </c>
      <c r="P136" s="21" t="s">
        <v>1305</v>
      </c>
      <c r="Q136" s="164"/>
      <c r="R136" s="178" t="s">
        <v>1306</v>
      </c>
      <c r="S136" s="171" t="s">
        <v>303</v>
      </c>
      <c r="T136" s="2"/>
      <c r="U136" s="2"/>
      <c r="V136" s="2"/>
      <c r="W136" s="2"/>
      <c r="X136" s="2"/>
      <c r="Y136" s="2"/>
      <c r="Z136" s="2"/>
      <c r="AA136" s="2"/>
    </row>
    <row r="137" ht="33.75" customHeight="1">
      <c r="A137" s="170" t="s">
        <v>278</v>
      </c>
      <c r="B137" s="170" t="s">
        <v>112</v>
      </c>
      <c r="C137" s="136" t="s">
        <v>1258</v>
      </c>
      <c r="D137" s="170" t="s">
        <v>35</v>
      </c>
      <c r="E137" s="115" t="s">
        <v>1260</v>
      </c>
      <c r="F137" s="171" t="s">
        <v>283</v>
      </c>
      <c r="G137" s="170" t="s">
        <v>517</v>
      </c>
      <c r="H137" s="136">
        <v>4.139601001E9</v>
      </c>
      <c r="I137" s="114" t="s">
        <v>90</v>
      </c>
      <c r="J137" s="172">
        <v>45960.0</v>
      </c>
      <c r="K137" s="172">
        <v>46027.0</v>
      </c>
      <c r="L137" s="114" t="s">
        <v>1308</v>
      </c>
      <c r="M137" s="176"/>
      <c r="N137" s="136"/>
      <c r="O137" s="173" t="s">
        <v>1309</v>
      </c>
      <c r="P137" s="127"/>
      <c r="Q137" s="136"/>
      <c r="R137" s="174" t="s">
        <v>1310</v>
      </c>
      <c r="S137" s="171" t="s">
        <v>303</v>
      </c>
      <c r="T137" s="2"/>
      <c r="U137" s="2"/>
      <c r="V137" s="2"/>
      <c r="W137" s="2"/>
      <c r="X137" s="2"/>
      <c r="Y137" s="2"/>
      <c r="Z137" s="2"/>
      <c r="AA137" s="2"/>
    </row>
    <row r="138" ht="33.75" customHeight="1">
      <c r="A138" s="170" t="s">
        <v>278</v>
      </c>
      <c r="B138" s="170" t="s">
        <v>112</v>
      </c>
      <c r="C138" s="136" t="s">
        <v>1258</v>
      </c>
      <c r="D138" s="170" t="s">
        <v>35</v>
      </c>
      <c r="E138" s="115" t="s">
        <v>1260</v>
      </c>
      <c r="F138" s="171" t="s">
        <v>283</v>
      </c>
      <c r="G138" s="170" t="s">
        <v>517</v>
      </c>
      <c r="H138" s="136">
        <v>1.206000001E9</v>
      </c>
      <c r="I138" s="114" t="s">
        <v>168</v>
      </c>
      <c r="J138" s="172">
        <v>45960.0</v>
      </c>
      <c r="K138" s="172">
        <v>46027.0</v>
      </c>
      <c r="L138" s="114" t="s">
        <v>1311</v>
      </c>
      <c r="M138" s="176"/>
      <c r="N138" s="136"/>
      <c r="O138" s="173" t="s">
        <v>1312</v>
      </c>
      <c r="P138" s="127"/>
      <c r="Q138" s="136"/>
      <c r="R138" s="174" t="s">
        <v>1313</v>
      </c>
      <c r="S138" s="171" t="s">
        <v>303</v>
      </c>
      <c r="T138" s="2"/>
      <c r="U138" s="2"/>
      <c r="V138" s="2"/>
      <c r="W138" s="2"/>
      <c r="X138" s="2"/>
      <c r="Y138" s="2"/>
      <c r="Z138" s="2"/>
      <c r="AA138" s="2"/>
    </row>
    <row r="139" ht="33.75" customHeight="1">
      <c r="A139" s="170" t="s">
        <v>278</v>
      </c>
      <c r="B139" s="170" t="s">
        <v>112</v>
      </c>
      <c r="C139" s="136" t="s">
        <v>1258</v>
      </c>
      <c r="D139" s="170" t="s">
        <v>35</v>
      </c>
      <c r="E139" s="115" t="s">
        <v>1260</v>
      </c>
      <c r="F139" s="171" t="s">
        <v>283</v>
      </c>
      <c r="G139" s="170" t="s">
        <v>517</v>
      </c>
      <c r="H139" s="136">
        <v>4.631501001E9</v>
      </c>
      <c r="I139" s="136" t="s">
        <v>201</v>
      </c>
      <c r="J139" s="172">
        <v>45960.0</v>
      </c>
      <c r="K139" s="172">
        <v>46051.0</v>
      </c>
      <c r="L139" s="136" t="s">
        <v>1315</v>
      </c>
      <c r="M139" s="176"/>
      <c r="N139" s="136"/>
      <c r="O139" s="173" t="s">
        <v>1316</v>
      </c>
      <c r="P139" s="176"/>
      <c r="Q139" s="136"/>
      <c r="R139" s="136"/>
      <c r="S139" s="171" t="s">
        <v>303</v>
      </c>
      <c r="T139" s="2"/>
      <c r="U139" s="2"/>
      <c r="V139" s="2"/>
      <c r="W139" s="2"/>
      <c r="X139" s="2"/>
      <c r="Y139" s="2"/>
      <c r="Z139" s="2"/>
      <c r="AA139" s="2"/>
    </row>
    <row r="140" ht="33.75" hidden="1" customHeight="1">
      <c r="A140" s="170" t="s">
        <v>278</v>
      </c>
      <c r="B140" s="170" t="s">
        <v>112</v>
      </c>
      <c r="C140" s="136" t="s">
        <v>1317</v>
      </c>
      <c r="D140" s="170" t="s">
        <v>35</v>
      </c>
      <c r="E140" s="175" t="s">
        <v>1319</v>
      </c>
      <c r="F140" s="171" t="s">
        <v>445</v>
      </c>
      <c r="G140" s="170" t="s">
        <v>285</v>
      </c>
      <c r="H140" s="136">
        <v>4.079001001E9</v>
      </c>
      <c r="I140" s="136" t="s">
        <v>37</v>
      </c>
      <c r="J140" s="172">
        <v>46002.0</v>
      </c>
      <c r="K140" s="172">
        <v>46006.0</v>
      </c>
      <c r="L140" s="136" t="s">
        <v>1323</v>
      </c>
      <c r="M140" s="176"/>
      <c r="N140" s="136"/>
      <c r="O140" s="173" t="s">
        <v>1325</v>
      </c>
      <c r="P140" s="176"/>
      <c r="Q140" s="136"/>
      <c r="R140" s="136"/>
      <c r="S140" s="171" t="s">
        <v>303</v>
      </c>
      <c r="T140" s="129"/>
      <c r="U140" s="129"/>
      <c r="V140" s="129"/>
      <c r="W140" s="129"/>
      <c r="X140" s="129"/>
      <c r="Y140" s="129"/>
      <c r="Z140" s="129"/>
      <c r="AA140" s="129"/>
    </row>
    <row r="141" ht="33.75" hidden="1" customHeight="1">
      <c r="A141" s="170" t="s">
        <v>278</v>
      </c>
      <c r="B141" s="170" t="s">
        <v>112</v>
      </c>
      <c r="C141" s="136" t="s">
        <v>1328</v>
      </c>
      <c r="D141" s="170" t="s">
        <v>35</v>
      </c>
      <c r="E141" s="175" t="s">
        <v>1329</v>
      </c>
      <c r="F141" s="171" t="s">
        <v>445</v>
      </c>
      <c r="G141" s="170" t="s">
        <v>285</v>
      </c>
      <c r="H141" s="136">
        <v>1.206000001E9</v>
      </c>
      <c r="I141" s="136" t="s">
        <v>168</v>
      </c>
      <c r="J141" s="172">
        <v>46014.0</v>
      </c>
      <c r="K141" s="172">
        <v>46020.0</v>
      </c>
      <c r="L141" s="136" t="s">
        <v>1333</v>
      </c>
      <c r="M141" s="176"/>
      <c r="N141" s="136"/>
      <c r="O141" s="173" t="s">
        <v>1334</v>
      </c>
      <c r="P141" s="176"/>
      <c r="Q141" s="136"/>
      <c r="R141" s="136"/>
      <c r="S141" s="171" t="s">
        <v>303</v>
      </c>
      <c r="T141" s="129"/>
      <c r="U141" s="129"/>
      <c r="V141" s="129"/>
      <c r="W141" s="129"/>
      <c r="X141" s="129"/>
      <c r="Y141" s="129"/>
      <c r="Z141" s="129"/>
      <c r="AA141" s="129"/>
    </row>
    <row r="142" ht="33.75" hidden="1" customHeight="1">
      <c r="A142" s="112" t="s">
        <v>278</v>
      </c>
      <c r="B142" s="112" t="s">
        <v>112</v>
      </c>
      <c r="C142" s="114" t="s">
        <v>1338</v>
      </c>
      <c r="D142" s="112" t="s">
        <v>35</v>
      </c>
      <c r="E142" s="115" t="s">
        <v>1340</v>
      </c>
      <c r="F142" s="116" t="s">
        <v>445</v>
      </c>
      <c r="G142" s="112" t="s">
        <v>285</v>
      </c>
      <c r="H142" s="114">
        <v>4.079001001E9</v>
      </c>
      <c r="I142" s="114" t="s">
        <v>37</v>
      </c>
      <c r="J142" s="118">
        <v>46020.0</v>
      </c>
      <c r="K142" s="118">
        <v>46021.0</v>
      </c>
      <c r="L142" s="114" t="s">
        <v>1341</v>
      </c>
      <c r="M142" s="120"/>
      <c r="N142" s="120"/>
      <c r="O142" s="121" t="s">
        <v>1344</v>
      </c>
      <c r="P142" s="120"/>
      <c r="Q142" s="120"/>
      <c r="R142" s="120"/>
      <c r="S142" s="116" t="s">
        <v>303</v>
      </c>
      <c r="T142" s="129"/>
      <c r="U142" s="129"/>
      <c r="V142" s="129"/>
      <c r="W142" s="129"/>
      <c r="X142" s="129"/>
      <c r="Y142" s="129"/>
      <c r="Z142" s="129"/>
      <c r="AA142" s="129"/>
    </row>
    <row r="143" ht="33.75" hidden="1" customHeight="1">
      <c r="A143" s="112" t="s">
        <v>278</v>
      </c>
      <c r="B143" s="112" t="s">
        <v>112</v>
      </c>
      <c r="C143" s="114" t="s">
        <v>1349</v>
      </c>
      <c r="D143" s="112" t="s">
        <v>35</v>
      </c>
      <c r="E143" s="115" t="s">
        <v>1351</v>
      </c>
      <c r="F143" s="116" t="s">
        <v>445</v>
      </c>
      <c r="G143" s="112" t="s">
        <v>285</v>
      </c>
      <c r="H143" s="114">
        <v>4.079001001E9</v>
      </c>
      <c r="I143" s="114" t="s">
        <v>37</v>
      </c>
      <c r="J143" s="119">
        <v>46028.0</v>
      </c>
      <c r="K143" s="119">
        <v>46034.0</v>
      </c>
      <c r="L143" s="114" t="s">
        <v>1352</v>
      </c>
      <c r="M143" s="120"/>
      <c r="N143" s="120"/>
      <c r="O143" s="121" t="s">
        <v>1354</v>
      </c>
      <c r="P143" s="120"/>
      <c r="Q143" s="120"/>
      <c r="R143" s="120"/>
      <c r="S143" s="116" t="s">
        <v>303</v>
      </c>
      <c r="T143" s="129"/>
      <c r="U143" s="129"/>
      <c r="V143" s="129"/>
      <c r="W143" s="129"/>
      <c r="X143" s="129"/>
      <c r="Y143" s="129"/>
      <c r="Z143" s="129"/>
      <c r="AA143" s="129"/>
    </row>
    <row r="144" ht="33.75" hidden="1" customHeight="1">
      <c r="A144" s="170" t="s">
        <v>278</v>
      </c>
      <c r="B144" s="170" t="s">
        <v>112</v>
      </c>
      <c r="C144" s="136" t="s">
        <v>1361</v>
      </c>
      <c r="D144" s="170" t="s">
        <v>35</v>
      </c>
      <c r="E144" s="175" t="s">
        <v>1362</v>
      </c>
      <c r="F144" s="171" t="s">
        <v>445</v>
      </c>
      <c r="G144" s="170" t="s">
        <v>285</v>
      </c>
      <c r="H144" s="136">
        <v>4.139301001E9</v>
      </c>
      <c r="I144" s="114" t="s">
        <v>140</v>
      </c>
      <c r="J144" s="172">
        <v>46045.0</v>
      </c>
      <c r="K144" s="172">
        <v>46050.0</v>
      </c>
      <c r="L144" s="136" t="s">
        <v>1365</v>
      </c>
      <c r="M144" s="176"/>
      <c r="N144" s="176"/>
      <c r="O144" s="173" t="s">
        <v>1366</v>
      </c>
      <c r="P144" s="176"/>
      <c r="Q144" s="176"/>
      <c r="R144" s="176"/>
      <c r="S144" s="171" t="s">
        <v>303</v>
      </c>
      <c r="T144" s="129"/>
      <c r="U144" s="129"/>
      <c r="V144" s="129"/>
      <c r="W144" s="129"/>
      <c r="X144" s="129"/>
      <c r="Y144" s="129"/>
      <c r="Z144" s="129"/>
      <c r="AA144" s="129"/>
    </row>
    <row r="145" ht="33.75" hidden="1" customHeight="1">
      <c r="A145" s="170" t="s">
        <v>278</v>
      </c>
      <c r="B145" s="170" t="s">
        <v>112</v>
      </c>
      <c r="C145" s="136" t="s">
        <v>1373</v>
      </c>
      <c r="D145" s="170" t="s">
        <v>35</v>
      </c>
      <c r="E145" s="175" t="s">
        <v>1375</v>
      </c>
      <c r="F145" s="171" t="s">
        <v>445</v>
      </c>
      <c r="G145" s="170" t="s">
        <v>285</v>
      </c>
      <c r="H145" s="136">
        <v>4.631501001E9</v>
      </c>
      <c r="I145" s="114" t="s">
        <v>201</v>
      </c>
      <c r="J145" s="172">
        <v>46076.0</v>
      </c>
      <c r="K145" s="172">
        <v>46086.0</v>
      </c>
      <c r="L145" s="136" t="s">
        <v>1377</v>
      </c>
      <c r="M145" s="176"/>
      <c r="N145" s="176"/>
      <c r="O145" s="21" t="s">
        <v>1379</v>
      </c>
      <c r="P145" s="176"/>
      <c r="Q145" s="176"/>
      <c r="R145" s="174" t="s">
        <v>1380</v>
      </c>
      <c r="S145" s="171" t="s">
        <v>303</v>
      </c>
      <c r="T145" s="129"/>
      <c r="U145" s="129"/>
      <c r="V145" s="129"/>
      <c r="W145" s="129"/>
      <c r="X145" s="129"/>
      <c r="Y145" s="129"/>
      <c r="Z145" s="129"/>
      <c r="AA145" s="129"/>
    </row>
    <row r="146" ht="33.75" customHeight="1">
      <c r="A146" s="170" t="s">
        <v>278</v>
      </c>
      <c r="B146" s="170" t="s">
        <v>112</v>
      </c>
      <c r="C146" s="136" t="s">
        <v>1381</v>
      </c>
      <c r="D146" s="170" t="s">
        <v>35</v>
      </c>
      <c r="E146" s="175" t="s">
        <v>1382</v>
      </c>
      <c r="F146" s="171" t="s">
        <v>283</v>
      </c>
      <c r="G146" s="180" t="s">
        <v>517</v>
      </c>
      <c r="H146" s="136">
        <v>4.079001001E9</v>
      </c>
      <c r="I146" s="114" t="s">
        <v>37</v>
      </c>
      <c r="J146" s="172">
        <v>46097.0</v>
      </c>
      <c r="K146" s="172">
        <v>46105.0</v>
      </c>
      <c r="L146" s="136" t="s">
        <v>1383</v>
      </c>
      <c r="M146" s="176"/>
      <c r="N146" s="176"/>
      <c r="O146" s="21" t="s">
        <v>1384</v>
      </c>
      <c r="P146" s="176"/>
      <c r="Q146" s="174" t="s">
        <v>1385</v>
      </c>
      <c r="R146" s="174" t="s">
        <v>1386</v>
      </c>
      <c r="S146" s="171" t="s">
        <v>303</v>
      </c>
      <c r="T146" s="2"/>
      <c r="U146" s="2"/>
      <c r="V146" s="2"/>
      <c r="W146" s="2"/>
      <c r="X146" s="2"/>
      <c r="Y146" s="2"/>
      <c r="Z146" s="2"/>
      <c r="AA146" s="2"/>
    </row>
    <row r="147" ht="33.75" customHeight="1">
      <c r="A147" s="170" t="s">
        <v>278</v>
      </c>
      <c r="B147" s="170" t="s">
        <v>112</v>
      </c>
      <c r="C147" s="136" t="s">
        <v>1381</v>
      </c>
      <c r="D147" s="170" t="s">
        <v>35</v>
      </c>
      <c r="E147" s="175" t="s">
        <v>1382</v>
      </c>
      <c r="F147" s="171" t="s">
        <v>283</v>
      </c>
      <c r="G147" s="181" t="s">
        <v>517</v>
      </c>
      <c r="H147" s="136">
        <v>4.102101001E9</v>
      </c>
      <c r="I147" s="114" t="s">
        <v>37</v>
      </c>
      <c r="J147" s="172">
        <v>46097.0</v>
      </c>
      <c r="K147" s="172">
        <v>46105.0</v>
      </c>
      <c r="L147" s="136" t="s">
        <v>1388</v>
      </c>
      <c r="M147" s="176"/>
      <c r="N147" s="176"/>
      <c r="O147" s="21" t="s">
        <v>1389</v>
      </c>
      <c r="P147" s="176"/>
      <c r="Q147" s="174" t="s">
        <v>1385</v>
      </c>
      <c r="R147" s="174" t="s">
        <v>1390</v>
      </c>
      <c r="S147" s="171" t="s">
        <v>303</v>
      </c>
      <c r="T147" s="2"/>
      <c r="U147" s="2"/>
      <c r="V147" s="2"/>
      <c r="W147" s="2"/>
      <c r="X147" s="2"/>
      <c r="Y147" s="2"/>
      <c r="Z147" s="2"/>
      <c r="AA147" s="2"/>
    </row>
    <row r="148" ht="33.75" customHeight="1">
      <c r="A148" s="170" t="s">
        <v>278</v>
      </c>
      <c r="B148" s="170" t="s">
        <v>112</v>
      </c>
      <c r="C148" s="136" t="s">
        <v>1381</v>
      </c>
      <c r="D148" s="170" t="s">
        <v>35</v>
      </c>
      <c r="E148" s="175" t="s">
        <v>1382</v>
      </c>
      <c r="F148" s="171" t="s">
        <v>283</v>
      </c>
      <c r="G148" s="180" t="s">
        <v>285</v>
      </c>
      <c r="H148" s="136">
        <v>3.942001001E9</v>
      </c>
      <c r="I148" s="114" t="s">
        <v>70</v>
      </c>
      <c r="J148" s="172">
        <v>46097.0</v>
      </c>
      <c r="K148" s="172">
        <v>46111.0</v>
      </c>
      <c r="L148" s="136" t="s">
        <v>1392</v>
      </c>
      <c r="M148" s="176"/>
      <c r="N148" s="176"/>
      <c r="O148" s="21" t="s">
        <v>1393</v>
      </c>
      <c r="P148" s="176"/>
      <c r="Q148" s="174" t="s">
        <v>1385</v>
      </c>
      <c r="R148" s="174" t="s">
        <v>1394</v>
      </c>
      <c r="S148" s="171" t="s">
        <v>303</v>
      </c>
      <c r="T148" s="2"/>
      <c r="U148" s="2"/>
      <c r="V148" s="2"/>
      <c r="W148" s="2"/>
      <c r="X148" s="2"/>
      <c r="Y148" s="2"/>
      <c r="Z148" s="2"/>
      <c r="AA148" s="2"/>
    </row>
    <row r="149" ht="33.75" customHeight="1">
      <c r="A149" s="170" t="s">
        <v>278</v>
      </c>
      <c r="B149" s="170" t="s">
        <v>112</v>
      </c>
      <c r="C149" s="136" t="s">
        <v>1381</v>
      </c>
      <c r="D149" s="170" t="s">
        <v>35</v>
      </c>
      <c r="E149" s="175" t="s">
        <v>1382</v>
      </c>
      <c r="F149" s="171" t="s">
        <v>283</v>
      </c>
      <c r="G149" s="181" t="s">
        <v>517</v>
      </c>
      <c r="H149" s="136">
        <v>4.139601001E9</v>
      </c>
      <c r="I149" s="114" t="s">
        <v>90</v>
      </c>
      <c r="J149" s="172">
        <v>46097.0</v>
      </c>
      <c r="K149" s="172">
        <v>46164.0</v>
      </c>
      <c r="L149" s="136" t="s">
        <v>1395</v>
      </c>
      <c r="M149" s="176"/>
      <c r="N149" s="176"/>
      <c r="O149" s="21" t="s">
        <v>1396</v>
      </c>
      <c r="P149" s="176"/>
      <c r="Q149" s="174" t="s">
        <v>1385</v>
      </c>
      <c r="R149" s="174" t="s">
        <v>1397</v>
      </c>
      <c r="S149" s="171" t="s">
        <v>303</v>
      </c>
      <c r="T149" s="2"/>
      <c r="U149" s="2"/>
      <c r="V149" s="2"/>
      <c r="W149" s="2"/>
      <c r="X149" s="2"/>
      <c r="Y149" s="2"/>
      <c r="Z149" s="2"/>
      <c r="AA149" s="2"/>
    </row>
    <row r="150" ht="33.75" customHeight="1">
      <c r="A150" s="170" t="s">
        <v>278</v>
      </c>
      <c r="B150" s="170" t="s">
        <v>112</v>
      </c>
      <c r="C150" s="136" t="s">
        <v>1381</v>
      </c>
      <c r="D150" s="170" t="s">
        <v>35</v>
      </c>
      <c r="E150" s="175" t="s">
        <v>1382</v>
      </c>
      <c r="F150" s="171" t="s">
        <v>283</v>
      </c>
      <c r="G150" s="180" t="s">
        <v>517</v>
      </c>
      <c r="H150" s="136">
        <v>4.134201001E9</v>
      </c>
      <c r="I150" s="114" t="s">
        <v>98</v>
      </c>
      <c r="J150" s="172">
        <v>46097.0</v>
      </c>
      <c r="K150" s="172">
        <v>46098.0</v>
      </c>
      <c r="L150" s="136" t="s">
        <v>1398</v>
      </c>
      <c r="M150" s="176"/>
      <c r="N150" s="176"/>
      <c r="O150" s="21" t="s">
        <v>1399</v>
      </c>
      <c r="P150" s="176"/>
      <c r="Q150" s="174" t="s">
        <v>1385</v>
      </c>
      <c r="R150" s="174" t="s">
        <v>1400</v>
      </c>
      <c r="S150" s="171" t="s">
        <v>303</v>
      </c>
      <c r="T150" s="2"/>
      <c r="U150" s="2"/>
      <c r="V150" s="2"/>
      <c r="W150" s="2"/>
      <c r="X150" s="2"/>
      <c r="Y150" s="2"/>
      <c r="Z150" s="2"/>
      <c r="AA150" s="2"/>
    </row>
    <row r="151" ht="33.75" customHeight="1">
      <c r="A151" s="170" t="s">
        <v>278</v>
      </c>
      <c r="B151" s="170" t="s">
        <v>112</v>
      </c>
      <c r="C151" s="136" t="s">
        <v>1381</v>
      </c>
      <c r="D151" s="170" t="s">
        <v>35</v>
      </c>
      <c r="E151" s="175" t="s">
        <v>1382</v>
      </c>
      <c r="F151" s="171" t="s">
        <v>283</v>
      </c>
      <c r="G151" s="181" t="s">
        <v>285</v>
      </c>
      <c r="H151" s="136">
        <v>4.139201001E9</v>
      </c>
      <c r="I151" s="114" t="s">
        <v>107</v>
      </c>
      <c r="J151" s="172">
        <v>46097.0</v>
      </c>
      <c r="K151" s="172">
        <v>46098.0</v>
      </c>
      <c r="L151" s="136" t="s">
        <v>1401</v>
      </c>
      <c r="M151" s="176"/>
      <c r="N151" s="176"/>
      <c r="O151" s="21" t="s">
        <v>1402</v>
      </c>
      <c r="P151" s="176"/>
      <c r="Q151" s="174" t="s">
        <v>1385</v>
      </c>
      <c r="R151" s="174" t="s">
        <v>1403</v>
      </c>
      <c r="S151" s="171" t="s">
        <v>303</v>
      </c>
      <c r="T151" s="2"/>
      <c r="U151" s="2"/>
      <c r="V151" s="2"/>
      <c r="W151" s="2"/>
      <c r="X151" s="2"/>
      <c r="Y151" s="2"/>
      <c r="Z151" s="2"/>
      <c r="AA151" s="2"/>
    </row>
    <row r="152" ht="33.75" customHeight="1">
      <c r="A152" s="170" t="s">
        <v>278</v>
      </c>
      <c r="B152" s="170" t="s">
        <v>112</v>
      </c>
      <c r="C152" s="136" t="s">
        <v>1381</v>
      </c>
      <c r="D152" s="170" t="s">
        <v>35</v>
      </c>
      <c r="E152" s="175" t="s">
        <v>1382</v>
      </c>
      <c r="F152" s="171" t="s">
        <v>283</v>
      </c>
      <c r="G152" s="180" t="s">
        <v>517</v>
      </c>
      <c r="H152" s="136">
        <v>4.123101001E9</v>
      </c>
      <c r="I152" s="114" t="s">
        <v>124</v>
      </c>
      <c r="J152" s="172">
        <v>46097.0</v>
      </c>
      <c r="K152" s="172">
        <v>46136.0</v>
      </c>
      <c r="L152" s="136" t="s">
        <v>1404</v>
      </c>
      <c r="M152" s="176"/>
      <c r="N152" s="176"/>
      <c r="O152" s="173"/>
      <c r="P152" s="176"/>
      <c r="Q152" s="174" t="s">
        <v>1385</v>
      </c>
      <c r="R152" s="174" t="s">
        <v>1405</v>
      </c>
      <c r="S152" s="171" t="s">
        <v>303</v>
      </c>
      <c r="T152" s="2"/>
      <c r="U152" s="2"/>
      <c r="V152" s="2"/>
      <c r="W152" s="2"/>
      <c r="X152" s="2"/>
      <c r="Y152" s="2"/>
      <c r="Z152" s="2"/>
      <c r="AA152" s="2"/>
    </row>
    <row r="153" ht="33.75" customHeight="1">
      <c r="A153" s="170" t="s">
        <v>278</v>
      </c>
      <c r="B153" s="170" t="s">
        <v>112</v>
      </c>
      <c r="C153" s="136" t="s">
        <v>1381</v>
      </c>
      <c r="D153" s="170" t="s">
        <v>35</v>
      </c>
      <c r="E153" s="175" t="s">
        <v>1382</v>
      </c>
      <c r="F153" s="171" t="s">
        <v>283</v>
      </c>
      <c r="G153" s="181" t="s">
        <v>517</v>
      </c>
      <c r="H153" s="136">
        <v>4.123201001E9</v>
      </c>
      <c r="I153" s="114" t="s">
        <v>131</v>
      </c>
      <c r="J153" s="172">
        <v>46097.0</v>
      </c>
      <c r="K153" s="172">
        <v>46128.0</v>
      </c>
      <c r="L153" s="136" t="s">
        <v>1406</v>
      </c>
      <c r="M153" s="176"/>
      <c r="N153" s="176"/>
      <c r="O153" s="21" t="s">
        <v>1407</v>
      </c>
      <c r="P153" s="176"/>
      <c r="Q153" s="174" t="s">
        <v>1385</v>
      </c>
      <c r="R153" s="174" t="s">
        <v>1408</v>
      </c>
      <c r="S153" s="171" t="s">
        <v>303</v>
      </c>
      <c r="T153" s="2"/>
      <c r="U153" s="2"/>
      <c r="V153" s="2"/>
      <c r="W153" s="2"/>
      <c r="X153" s="2"/>
      <c r="Y153" s="2"/>
      <c r="Z153" s="2"/>
      <c r="AA153" s="2"/>
    </row>
    <row r="154" ht="33.75" customHeight="1">
      <c r="A154" s="170" t="s">
        <v>278</v>
      </c>
      <c r="B154" s="170" t="s">
        <v>112</v>
      </c>
      <c r="C154" s="136" t="s">
        <v>1381</v>
      </c>
      <c r="D154" s="170" t="s">
        <v>35</v>
      </c>
      <c r="E154" s="175" t="s">
        <v>1382</v>
      </c>
      <c r="F154" s="171" t="s">
        <v>283</v>
      </c>
      <c r="G154" s="180" t="s">
        <v>517</v>
      </c>
      <c r="H154" s="136">
        <v>4.139301001E9</v>
      </c>
      <c r="I154" s="114" t="s">
        <v>140</v>
      </c>
      <c r="J154" s="172">
        <v>46097.0</v>
      </c>
      <c r="K154" s="172">
        <v>46101.0</v>
      </c>
      <c r="L154" s="136" t="s">
        <v>1410</v>
      </c>
      <c r="M154" s="176"/>
      <c r="N154" s="176"/>
      <c r="O154" s="21" t="s">
        <v>1411</v>
      </c>
      <c r="P154" s="176"/>
      <c r="Q154" s="174" t="s">
        <v>1385</v>
      </c>
      <c r="R154" s="174" t="s">
        <v>1412</v>
      </c>
      <c r="S154" s="171" t="s">
        <v>303</v>
      </c>
      <c r="T154" s="2"/>
      <c r="U154" s="2"/>
      <c r="V154" s="2"/>
      <c r="W154" s="2"/>
      <c r="X154" s="2"/>
      <c r="Y154" s="2"/>
      <c r="Z154" s="2"/>
      <c r="AA154" s="2"/>
    </row>
    <row r="155" ht="33.75" customHeight="1">
      <c r="A155" s="170" t="s">
        <v>278</v>
      </c>
      <c r="B155" s="170" t="s">
        <v>112</v>
      </c>
      <c r="C155" s="136" t="s">
        <v>1381</v>
      </c>
      <c r="D155" s="170" t="s">
        <v>35</v>
      </c>
      <c r="E155" s="175" t="s">
        <v>1382</v>
      </c>
      <c r="F155" s="171" t="s">
        <v>283</v>
      </c>
      <c r="G155" s="181" t="s">
        <v>517</v>
      </c>
      <c r="H155" s="136">
        <v>4.078101001E9</v>
      </c>
      <c r="I155" s="114" t="s">
        <v>154</v>
      </c>
      <c r="J155" s="172">
        <v>46097.0</v>
      </c>
      <c r="K155" s="172">
        <v>46113.0</v>
      </c>
      <c r="L155" s="136" t="s">
        <v>1413</v>
      </c>
      <c r="M155" s="176"/>
      <c r="N155" s="176"/>
      <c r="O155" s="21" t="s">
        <v>1415</v>
      </c>
      <c r="P155" s="176"/>
      <c r="Q155" s="174" t="s">
        <v>1385</v>
      </c>
      <c r="R155" s="174" t="s">
        <v>1416</v>
      </c>
      <c r="S155" s="171" t="s">
        <v>303</v>
      </c>
      <c r="T155" s="2"/>
      <c r="U155" s="2"/>
      <c r="V155" s="2"/>
      <c r="W155" s="2"/>
      <c r="X155" s="2"/>
      <c r="Y155" s="2"/>
      <c r="Z155" s="2"/>
      <c r="AA155" s="2"/>
    </row>
    <row r="156" ht="33.75" customHeight="1">
      <c r="A156" s="170" t="s">
        <v>278</v>
      </c>
      <c r="B156" s="170" t="s">
        <v>112</v>
      </c>
      <c r="C156" s="136" t="s">
        <v>1381</v>
      </c>
      <c r="D156" s="170" t="s">
        <v>35</v>
      </c>
      <c r="E156" s="175" t="s">
        <v>1382</v>
      </c>
      <c r="F156" s="171" t="s">
        <v>283</v>
      </c>
      <c r="G156" s="180" t="s">
        <v>517</v>
      </c>
      <c r="H156" s="136">
        <v>1.206000001E9</v>
      </c>
      <c r="I156" s="114" t="s">
        <v>168</v>
      </c>
      <c r="J156" s="172">
        <v>46097.0</v>
      </c>
      <c r="K156" s="172">
        <v>46164.0</v>
      </c>
      <c r="L156" s="136" t="s">
        <v>1417</v>
      </c>
      <c r="M156" s="172">
        <v>46176.0</v>
      </c>
      <c r="N156" s="172" t="s">
        <v>1418</v>
      </c>
      <c r="O156" s="21" t="s">
        <v>1419</v>
      </c>
      <c r="P156" s="21" t="s">
        <v>1421</v>
      </c>
      <c r="Q156" s="174" t="s">
        <v>1385</v>
      </c>
      <c r="R156" s="174" t="s">
        <v>1422</v>
      </c>
      <c r="S156" s="171" t="s">
        <v>303</v>
      </c>
      <c r="T156" s="2"/>
      <c r="U156" s="2"/>
      <c r="V156" s="2"/>
      <c r="W156" s="2"/>
      <c r="X156" s="2"/>
      <c r="Y156" s="2"/>
      <c r="Z156" s="2"/>
      <c r="AA156" s="2"/>
    </row>
    <row r="157" ht="33.75" customHeight="1">
      <c r="A157" s="170" t="s">
        <v>278</v>
      </c>
      <c r="B157" s="170" t="s">
        <v>112</v>
      </c>
      <c r="C157" s="136" t="s">
        <v>1381</v>
      </c>
      <c r="D157" s="170" t="s">
        <v>35</v>
      </c>
      <c r="E157" s="175" t="s">
        <v>1382</v>
      </c>
      <c r="F157" s="171" t="s">
        <v>283</v>
      </c>
      <c r="G157" s="181" t="s">
        <v>517</v>
      </c>
      <c r="H157" s="136">
        <v>1.299000006E9</v>
      </c>
      <c r="I157" s="114" t="s">
        <v>177</v>
      </c>
      <c r="J157" s="172">
        <v>46097.0</v>
      </c>
      <c r="K157" s="172">
        <v>46111.0</v>
      </c>
      <c r="L157" s="136" t="s">
        <v>1424</v>
      </c>
      <c r="M157" s="176"/>
      <c r="N157" s="176"/>
      <c r="O157" s="21" t="s">
        <v>1425</v>
      </c>
      <c r="P157" s="176"/>
      <c r="Q157" s="174" t="s">
        <v>1385</v>
      </c>
      <c r="R157" s="174" t="s">
        <v>1427</v>
      </c>
      <c r="S157" s="171" t="s">
        <v>303</v>
      </c>
      <c r="T157" s="2"/>
      <c r="U157" s="2"/>
      <c r="V157" s="2"/>
      <c r="W157" s="2"/>
      <c r="X157" s="2"/>
      <c r="Y157" s="2"/>
      <c r="Z157" s="2"/>
      <c r="AA157" s="2"/>
    </row>
    <row r="158" ht="33.75" customHeight="1">
      <c r="A158" s="170" t="s">
        <v>278</v>
      </c>
      <c r="B158" s="170" t="s">
        <v>112</v>
      </c>
      <c r="C158" s="136" t="s">
        <v>1381</v>
      </c>
      <c r="D158" s="170" t="s">
        <v>35</v>
      </c>
      <c r="E158" s="175" t="s">
        <v>1382</v>
      </c>
      <c r="F158" s="171" t="s">
        <v>283</v>
      </c>
      <c r="G158" s="180" t="s">
        <v>285</v>
      </c>
      <c r="H158" s="136">
        <v>1.29900001E9</v>
      </c>
      <c r="I158" s="136" t="s">
        <v>187</v>
      </c>
      <c r="J158" s="172">
        <v>46097.0</v>
      </c>
      <c r="K158" s="172">
        <v>46128.0</v>
      </c>
      <c r="L158" s="136" t="s">
        <v>1432</v>
      </c>
      <c r="M158" s="176"/>
      <c r="N158" s="176"/>
      <c r="O158" s="21" t="s">
        <v>1434</v>
      </c>
      <c r="P158" s="176"/>
      <c r="Q158" s="174" t="s">
        <v>1385</v>
      </c>
      <c r="R158" s="174" t="s">
        <v>1435</v>
      </c>
      <c r="S158" s="171" t="s">
        <v>303</v>
      </c>
      <c r="T158" s="2"/>
      <c r="U158" s="2"/>
      <c r="V158" s="2"/>
      <c r="W158" s="2"/>
      <c r="X158" s="2"/>
      <c r="Y158" s="2"/>
      <c r="Z158" s="2"/>
      <c r="AA158" s="2"/>
    </row>
    <row r="159" ht="33.75" customHeight="1">
      <c r="A159" s="170" t="s">
        <v>278</v>
      </c>
      <c r="B159" s="170" t="s">
        <v>112</v>
      </c>
      <c r="C159" s="136" t="s">
        <v>1381</v>
      </c>
      <c r="D159" s="170" t="s">
        <v>35</v>
      </c>
      <c r="E159" s="175" t="s">
        <v>1382</v>
      </c>
      <c r="F159" s="171" t="s">
        <v>283</v>
      </c>
      <c r="G159" s="184" t="s">
        <v>517</v>
      </c>
      <c r="H159" s="136">
        <v>4.631501001E9</v>
      </c>
      <c r="I159" s="136" t="s">
        <v>201</v>
      </c>
      <c r="J159" s="172">
        <v>46097.0</v>
      </c>
      <c r="K159" s="172">
        <v>46169.0</v>
      </c>
      <c r="L159" s="136" t="s">
        <v>1437</v>
      </c>
      <c r="M159" s="176"/>
      <c r="N159" s="176"/>
      <c r="O159" s="21" t="s">
        <v>1438</v>
      </c>
      <c r="P159" s="176"/>
      <c r="Q159" s="174" t="s">
        <v>1385</v>
      </c>
      <c r="R159" s="174" t="s">
        <v>1439</v>
      </c>
      <c r="S159" s="171" t="s">
        <v>303</v>
      </c>
      <c r="T159" s="2"/>
      <c r="U159" s="2"/>
      <c r="V159" s="2"/>
      <c r="W159" s="2"/>
      <c r="X159" s="2"/>
      <c r="Y159" s="2"/>
      <c r="Z159" s="2"/>
      <c r="AA159" s="2"/>
    </row>
    <row r="160" ht="33.75" hidden="1" customHeight="1">
      <c r="A160" s="170" t="s">
        <v>278</v>
      </c>
      <c r="B160" s="170" t="s">
        <v>112</v>
      </c>
      <c r="C160" s="114" t="s">
        <v>1442</v>
      </c>
      <c r="D160" s="170" t="s">
        <v>35</v>
      </c>
      <c r="E160" s="175" t="s">
        <v>1443</v>
      </c>
      <c r="F160" s="171" t="s">
        <v>445</v>
      </c>
      <c r="G160" s="185" t="s">
        <v>517</v>
      </c>
      <c r="H160" s="136">
        <v>4.079001001E9</v>
      </c>
      <c r="I160" s="114" t="s">
        <v>37</v>
      </c>
      <c r="J160" s="172">
        <v>46196.0</v>
      </c>
      <c r="K160" s="172">
        <v>46105.0</v>
      </c>
      <c r="L160" s="136" t="s">
        <v>1444</v>
      </c>
      <c r="M160" s="176"/>
      <c r="N160" s="176"/>
      <c r="O160" s="21" t="s">
        <v>1446</v>
      </c>
      <c r="P160" s="176"/>
      <c r="Q160" s="174" t="s">
        <v>1448</v>
      </c>
      <c r="R160" s="174" t="s">
        <v>1449</v>
      </c>
      <c r="S160" s="171" t="s">
        <v>303</v>
      </c>
      <c r="T160" s="129"/>
      <c r="U160" s="129"/>
      <c r="V160" s="129"/>
      <c r="W160" s="129"/>
      <c r="X160" s="129"/>
      <c r="Y160" s="129"/>
      <c r="Z160" s="129"/>
      <c r="AA160" s="129"/>
    </row>
    <row r="161" ht="33.75" hidden="1" customHeight="1">
      <c r="A161" s="170" t="s">
        <v>278</v>
      </c>
      <c r="B161" s="170" t="s">
        <v>112</v>
      </c>
      <c r="C161" s="114" t="s">
        <v>1442</v>
      </c>
      <c r="D161" s="170" t="s">
        <v>35</v>
      </c>
      <c r="E161" s="175" t="s">
        <v>1443</v>
      </c>
      <c r="F161" s="171" t="s">
        <v>445</v>
      </c>
      <c r="G161" s="185" t="s">
        <v>517</v>
      </c>
      <c r="H161" s="136">
        <v>4.102101001E9</v>
      </c>
      <c r="I161" s="114" t="s">
        <v>37</v>
      </c>
      <c r="J161" s="172">
        <v>46196.0</v>
      </c>
      <c r="K161" s="172">
        <v>46105.0</v>
      </c>
      <c r="L161" s="136" t="s">
        <v>1388</v>
      </c>
      <c r="M161" s="176"/>
      <c r="N161" s="176"/>
      <c r="O161" s="21" t="s">
        <v>1451</v>
      </c>
      <c r="P161" s="176"/>
      <c r="Q161" s="174" t="s">
        <v>1448</v>
      </c>
      <c r="R161" s="174" t="s">
        <v>1452</v>
      </c>
      <c r="S161" s="171" t="s">
        <v>303</v>
      </c>
      <c r="T161" s="129"/>
      <c r="U161" s="129"/>
      <c r="V161" s="129"/>
      <c r="W161" s="129"/>
      <c r="X161" s="129"/>
      <c r="Y161" s="129"/>
      <c r="Z161" s="129"/>
      <c r="AA161" s="129"/>
    </row>
    <row r="162" ht="33.75" hidden="1" customHeight="1">
      <c r="A162" s="170" t="s">
        <v>278</v>
      </c>
      <c r="B162" s="170" t="s">
        <v>112</v>
      </c>
      <c r="C162" s="114" t="s">
        <v>1455</v>
      </c>
      <c r="D162" s="170" t="s">
        <v>35</v>
      </c>
      <c r="E162" s="175" t="s">
        <v>1456</v>
      </c>
      <c r="F162" s="171" t="s">
        <v>445</v>
      </c>
      <c r="G162" s="185" t="s">
        <v>285</v>
      </c>
      <c r="H162" s="136">
        <v>4.139201001E9</v>
      </c>
      <c r="I162" s="114" t="s">
        <v>107</v>
      </c>
      <c r="J162" s="172">
        <v>46162.0</v>
      </c>
      <c r="K162" s="172">
        <v>46168.0</v>
      </c>
      <c r="L162" s="136" t="s">
        <v>1457</v>
      </c>
      <c r="M162" s="176"/>
      <c r="N162" s="176"/>
      <c r="O162" s="21" t="s">
        <v>1458</v>
      </c>
      <c r="P162" s="176"/>
      <c r="Q162" s="174" t="s">
        <v>1459</v>
      </c>
      <c r="R162" s="174" t="s">
        <v>1460</v>
      </c>
      <c r="S162" s="171" t="s">
        <v>686</v>
      </c>
      <c r="T162" s="129"/>
      <c r="U162" s="129"/>
      <c r="V162" s="129"/>
      <c r="W162" s="129"/>
      <c r="X162" s="129"/>
      <c r="Y162" s="129"/>
      <c r="Z162" s="129"/>
      <c r="AA162" s="129"/>
    </row>
    <row r="163" ht="33.75" hidden="1" customHeight="1">
      <c r="A163" s="170" t="s">
        <v>278</v>
      </c>
      <c r="B163" s="170" t="s">
        <v>112</v>
      </c>
      <c r="C163" s="114" t="s">
        <v>1462</v>
      </c>
      <c r="D163" s="170" t="s">
        <v>35</v>
      </c>
      <c r="E163" s="175" t="s">
        <v>1463</v>
      </c>
      <c r="F163" s="171" t="s">
        <v>445</v>
      </c>
      <c r="G163" s="185" t="s">
        <v>517</v>
      </c>
      <c r="H163" s="136">
        <v>4.123201001E9</v>
      </c>
      <c r="I163" s="114" t="s">
        <v>131</v>
      </c>
      <c r="J163" s="172">
        <v>46167.0</v>
      </c>
      <c r="K163" s="172">
        <v>46174.0</v>
      </c>
      <c r="L163" s="136" t="s">
        <v>1464</v>
      </c>
      <c r="M163" s="176"/>
      <c r="N163" s="176"/>
      <c r="O163" s="21" t="s">
        <v>1465</v>
      </c>
      <c r="P163" s="176"/>
      <c r="Q163" s="136"/>
      <c r="R163" s="176"/>
      <c r="S163" s="171" t="s">
        <v>686</v>
      </c>
      <c r="T163" s="129"/>
      <c r="U163" s="129"/>
      <c r="V163" s="129"/>
      <c r="W163" s="129"/>
      <c r="X163" s="129"/>
      <c r="Y163" s="129"/>
      <c r="Z163" s="129"/>
      <c r="AA163" s="129"/>
    </row>
    <row r="164" ht="33.75" hidden="1" customHeight="1">
      <c r="A164" s="170" t="s">
        <v>278</v>
      </c>
      <c r="B164" s="170" t="s">
        <v>112</v>
      </c>
      <c r="C164" s="136" t="s">
        <v>1442</v>
      </c>
      <c r="D164" s="170" t="s">
        <v>35</v>
      </c>
      <c r="E164" s="175" t="s">
        <v>1443</v>
      </c>
      <c r="F164" s="171" t="s">
        <v>445</v>
      </c>
      <c r="G164" s="185" t="s">
        <v>285</v>
      </c>
      <c r="H164" s="136">
        <v>4.079001001E9</v>
      </c>
      <c r="I164" s="136" t="s">
        <v>37</v>
      </c>
      <c r="J164" s="172">
        <v>46097.0</v>
      </c>
      <c r="K164" s="172">
        <v>46105.0</v>
      </c>
      <c r="L164" s="136" t="s">
        <v>1444</v>
      </c>
      <c r="M164" s="176"/>
      <c r="N164" s="176"/>
      <c r="O164" s="21" t="s">
        <v>1467</v>
      </c>
      <c r="P164" s="176"/>
      <c r="Q164" s="174" t="s">
        <v>1385</v>
      </c>
      <c r="R164" s="174" t="s">
        <v>1468</v>
      </c>
      <c r="S164" s="171" t="s">
        <v>303</v>
      </c>
      <c r="T164" s="129"/>
      <c r="U164" s="129"/>
      <c r="V164" s="129"/>
      <c r="W164" s="129"/>
      <c r="X164" s="129"/>
      <c r="Y164" s="129"/>
      <c r="Z164" s="129"/>
      <c r="AA164" s="129"/>
    </row>
    <row r="165" ht="33.75" hidden="1" customHeight="1">
      <c r="A165" s="170" t="s">
        <v>278</v>
      </c>
      <c r="B165" s="170" t="s">
        <v>112</v>
      </c>
      <c r="C165" s="136" t="s">
        <v>1442</v>
      </c>
      <c r="D165" s="170" t="s">
        <v>35</v>
      </c>
      <c r="E165" s="175" t="s">
        <v>1443</v>
      </c>
      <c r="F165" s="171" t="s">
        <v>445</v>
      </c>
      <c r="G165" s="185" t="s">
        <v>285</v>
      </c>
      <c r="H165" s="136">
        <v>4.102101001E9</v>
      </c>
      <c r="I165" s="136" t="s">
        <v>37</v>
      </c>
      <c r="J165" s="172">
        <v>46097.0</v>
      </c>
      <c r="K165" s="172">
        <v>46105.0</v>
      </c>
      <c r="L165" s="136" t="s">
        <v>1388</v>
      </c>
      <c r="M165" s="176"/>
      <c r="N165" s="176"/>
      <c r="O165" s="21" t="s">
        <v>1470</v>
      </c>
      <c r="P165" s="176"/>
      <c r="Q165" s="174" t="s">
        <v>1385</v>
      </c>
      <c r="R165" s="174" t="s">
        <v>1471</v>
      </c>
      <c r="S165" s="171" t="s">
        <v>303</v>
      </c>
      <c r="T165" s="129"/>
      <c r="U165" s="129"/>
      <c r="V165" s="129"/>
      <c r="W165" s="129"/>
      <c r="X165" s="129"/>
      <c r="Y165" s="129"/>
      <c r="Z165" s="129"/>
      <c r="AA165" s="129"/>
    </row>
    <row r="166" ht="33.75" hidden="1" customHeight="1">
      <c r="A166" s="170" t="s">
        <v>278</v>
      </c>
      <c r="B166" s="170" t="s">
        <v>112</v>
      </c>
      <c r="C166" s="136" t="s">
        <v>1473</v>
      </c>
      <c r="D166" s="170" t="s">
        <v>35</v>
      </c>
      <c r="E166" s="175" t="s">
        <v>1474</v>
      </c>
      <c r="F166" s="171" t="s">
        <v>445</v>
      </c>
      <c r="G166" s="185" t="s">
        <v>517</v>
      </c>
      <c r="H166" s="136">
        <v>4.123101001E9</v>
      </c>
      <c r="I166" s="136" t="s">
        <v>124</v>
      </c>
      <c r="J166" s="172">
        <v>46174.0</v>
      </c>
      <c r="K166" s="172">
        <v>46183.0</v>
      </c>
      <c r="L166" s="136" t="s">
        <v>1475</v>
      </c>
      <c r="M166" s="176"/>
      <c r="N166" s="176"/>
      <c r="O166" s="21" t="s">
        <v>1476</v>
      </c>
      <c r="P166" s="176"/>
      <c r="Q166" s="136"/>
      <c r="R166" s="174" t="s">
        <v>1477</v>
      </c>
      <c r="S166" s="171" t="s">
        <v>303</v>
      </c>
      <c r="T166" s="129"/>
      <c r="U166" s="129"/>
      <c r="V166" s="129"/>
      <c r="W166" s="129"/>
      <c r="X166" s="129"/>
      <c r="Y166" s="129"/>
      <c r="Z166" s="129"/>
      <c r="AA166" s="129"/>
    </row>
    <row r="167" ht="33.75" hidden="1" customHeight="1">
      <c r="A167" s="170" t="s">
        <v>278</v>
      </c>
      <c r="B167" s="170" t="s">
        <v>112</v>
      </c>
      <c r="C167" s="136" t="s">
        <v>1478</v>
      </c>
      <c r="D167" s="170" t="s">
        <v>35</v>
      </c>
      <c r="E167" s="175" t="s">
        <v>1479</v>
      </c>
      <c r="F167" s="171" t="s">
        <v>445</v>
      </c>
      <c r="G167" s="185" t="s">
        <v>517</v>
      </c>
      <c r="H167" s="136">
        <v>4.079001001E9</v>
      </c>
      <c r="I167" s="114" t="s">
        <v>37</v>
      </c>
      <c r="J167" s="172">
        <v>46174.0</v>
      </c>
      <c r="K167" s="172">
        <v>46181.0</v>
      </c>
      <c r="L167" s="136" t="s">
        <v>1480</v>
      </c>
      <c r="M167" s="176"/>
      <c r="N167" s="176"/>
      <c r="O167" s="21" t="s">
        <v>1481</v>
      </c>
      <c r="P167" s="176"/>
      <c r="Q167" s="136"/>
      <c r="R167" s="174" t="s">
        <v>1483</v>
      </c>
      <c r="S167" s="171" t="s">
        <v>303</v>
      </c>
      <c r="T167" s="129"/>
      <c r="U167" s="129"/>
      <c r="V167" s="129"/>
      <c r="W167" s="129"/>
      <c r="X167" s="129"/>
      <c r="Y167" s="129"/>
      <c r="Z167" s="129"/>
      <c r="AA167" s="129"/>
    </row>
    <row r="168" ht="33.75" customHeight="1">
      <c r="A168" s="170" t="s">
        <v>278</v>
      </c>
      <c r="B168" s="170" t="s">
        <v>112</v>
      </c>
      <c r="C168" s="136" t="s">
        <v>1484</v>
      </c>
      <c r="D168" s="170" t="s">
        <v>35</v>
      </c>
      <c r="E168" s="175" t="s">
        <v>1485</v>
      </c>
      <c r="F168" s="171" t="s">
        <v>283</v>
      </c>
      <c r="G168" s="185" t="s">
        <v>517</v>
      </c>
      <c r="H168" s="175" t="s">
        <v>1486</v>
      </c>
      <c r="I168" s="114" t="s">
        <v>37</v>
      </c>
      <c r="J168" s="172">
        <v>46204.0</v>
      </c>
      <c r="K168" s="172">
        <v>46216.0</v>
      </c>
      <c r="L168" s="136" t="s">
        <v>1487</v>
      </c>
      <c r="M168" s="176"/>
      <c r="N168" s="176"/>
      <c r="O168" s="21" t="s">
        <v>1488</v>
      </c>
      <c r="P168" s="176"/>
      <c r="Q168" s="136"/>
      <c r="R168" s="174" t="s">
        <v>1491</v>
      </c>
      <c r="S168" s="171" t="s">
        <v>303</v>
      </c>
      <c r="T168" s="2"/>
      <c r="U168" s="2"/>
      <c r="V168" s="2"/>
      <c r="W168" s="2"/>
      <c r="X168" s="2"/>
      <c r="Y168" s="2"/>
      <c r="Z168" s="2"/>
      <c r="AA168" s="2"/>
    </row>
    <row r="169" ht="33.75" customHeight="1">
      <c r="A169" s="170" t="s">
        <v>278</v>
      </c>
      <c r="B169" s="170" t="s">
        <v>112</v>
      </c>
      <c r="C169" s="136" t="s">
        <v>1484</v>
      </c>
      <c r="D169" s="170" t="s">
        <v>35</v>
      </c>
      <c r="E169" s="175" t="s">
        <v>1485</v>
      </c>
      <c r="F169" s="171" t="s">
        <v>283</v>
      </c>
      <c r="G169" s="185" t="s">
        <v>285</v>
      </c>
      <c r="H169" s="175" t="s">
        <v>1492</v>
      </c>
      <c r="I169" s="114" t="s">
        <v>37</v>
      </c>
      <c r="J169" s="172">
        <v>46204.0</v>
      </c>
      <c r="K169" s="172">
        <v>46217.0</v>
      </c>
      <c r="L169" s="136" t="s">
        <v>1493</v>
      </c>
      <c r="M169" s="176"/>
      <c r="N169" s="176"/>
      <c r="O169" s="21" t="s">
        <v>1488</v>
      </c>
      <c r="P169" s="176"/>
      <c r="Q169" s="136"/>
      <c r="R169" s="174" t="s">
        <v>1494</v>
      </c>
      <c r="S169" s="171" t="s">
        <v>303</v>
      </c>
      <c r="T169" s="2"/>
      <c r="U169" s="2"/>
      <c r="V169" s="2"/>
      <c r="W169" s="2"/>
      <c r="X169" s="2"/>
      <c r="Y169" s="2"/>
      <c r="Z169" s="2"/>
      <c r="AA169" s="2"/>
    </row>
    <row r="170" ht="33.75" customHeight="1">
      <c r="A170" s="170" t="s">
        <v>278</v>
      </c>
      <c r="B170" s="170" t="s">
        <v>112</v>
      </c>
      <c r="C170" s="136" t="s">
        <v>1484</v>
      </c>
      <c r="D170" s="170" t="s">
        <v>35</v>
      </c>
      <c r="E170" s="175" t="s">
        <v>1485</v>
      </c>
      <c r="F170" s="171" t="s">
        <v>283</v>
      </c>
      <c r="G170" s="185" t="s">
        <v>517</v>
      </c>
      <c r="H170" s="175" t="s">
        <v>75</v>
      </c>
      <c r="I170" s="114" t="s">
        <v>70</v>
      </c>
      <c r="J170" s="172">
        <v>46204.0</v>
      </c>
      <c r="K170" s="172">
        <v>46217.0</v>
      </c>
      <c r="L170" s="136" t="s">
        <v>1496</v>
      </c>
      <c r="M170" s="176"/>
      <c r="N170" s="176"/>
      <c r="O170" s="21" t="s">
        <v>1488</v>
      </c>
      <c r="P170" s="176"/>
      <c r="Q170" s="136"/>
      <c r="R170" s="174" t="s">
        <v>1497</v>
      </c>
      <c r="S170" s="171" t="s">
        <v>303</v>
      </c>
      <c r="T170" s="2"/>
      <c r="U170" s="2"/>
      <c r="V170" s="2"/>
      <c r="W170" s="2"/>
      <c r="X170" s="2"/>
      <c r="Y170" s="2"/>
      <c r="Z170" s="2"/>
      <c r="AA170" s="2"/>
    </row>
    <row r="171" ht="33.75" customHeight="1">
      <c r="A171" s="170" t="s">
        <v>278</v>
      </c>
      <c r="B171" s="170" t="s">
        <v>112</v>
      </c>
      <c r="C171" s="136" t="s">
        <v>1484</v>
      </c>
      <c r="D171" s="170" t="s">
        <v>35</v>
      </c>
      <c r="E171" s="175" t="s">
        <v>1485</v>
      </c>
      <c r="F171" s="171" t="s">
        <v>283</v>
      </c>
      <c r="G171" s="185" t="s">
        <v>517</v>
      </c>
      <c r="H171" s="175" t="s">
        <v>91</v>
      </c>
      <c r="I171" s="114" t="s">
        <v>90</v>
      </c>
      <c r="J171" s="172">
        <v>46204.0</v>
      </c>
      <c r="K171" s="172"/>
      <c r="L171" s="136"/>
      <c r="M171" s="176"/>
      <c r="N171" s="176"/>
      <c r="O171" s="21"/>
      <c r="P171" s="176"/>
      <c r="Q171" s="136"/>
      <c r="R171" s="136"/>
      <c r="S171" s="171" t="s">
        <v>1105</v>
      </c>
      <c r="T171" s="2"/>
      <c r="U171" s="2"/>
      <c r="V171" s="2"/>
      <c r="W171" s="2"/>
      <c r="X171" s="2"/>
      <c r="Y171" s="2"/>
      <c r="Z171" s="2"/>
      <c r="AA171" s="2"/>
    </row>
    <row r="172" ht="33.75" customHeight="1">
      <c r="A172" s="170" t="s">
        <v>278</v>
      </c>
      <c r="B172" s="170" t="s">
        <v>112</v>
      </c>
      <c r="C172" s="136" t="s">
        <v>1484</v>
      </c>
      <c r="D172" s="170" t="s">
        <v>35</v>
      </c>
      <c r="E172" s="175" t="s">
        <v>1485</v>
      </c>
      <c r="F172" s="171" t="s">
        <v>283</v>
      </c>
      <c r="G172" s="185" t="s">
        <v>517</v>
      </c>
      <c r="H172" s="175" t="s">
        <v>99</v>
      </c>
      <c r="I172" s="136" t="s">
        <v>98</v>
      </c>
      <c r="J172" s="172">
        <v>46204.0</v>
      </c>
      <c r="K172" s="172">
        <v>46210.0</v>
      </c>
      <c r="L172" s="136" t="s">
        <v>1499</v>
      </c>
      <c r="M172" s="176"/>
      <c r="N172" s="176"/>
      <c r="O172" s="21" t="s">
        <v>1500</v>
      </c>
      <c r="P172" s="176"/>
      <c r="Q172" s="136"/>
      <c r="R172" s="174" t="s">
        <v>1501</v>
      </c>
      <c r="S172" s="171" t="s">
        <v>303</v>
      </c>
      <c r="T172" s="2"/>
      <c r="U172" s="2"/>
      <c r="V172" s="2"/>
      <c r="W172" s="2"/>
      <c r="X172" s="2"/>
      <c r="Y172" s="2"/>
      <c r="Z172" s="2"/>
      <c r="AA172" s="2"/>
    </row>
    <row r="173" ht="33.75" customHeight="1">
      <c r="A173" s="170" t="s">
        <v>278</v>
      </c>
      <c r="B173" s="170" t="s">
        <v>112</v>
      </c>
      <c r="C173" s="136" t="s">
        <v>1484</v>
      </c>
      <c r="D173" s="170" t="s">
        <v>35</v>
      </c>
      <c r="E173" s="175" t="s">
        <v>1485</v>
      </c>
      <c r="F173" s="171" t="s">
        <v>283</v>
      </c>
      <c r="G173" s="185" t="s">
        <v>517</v>
      </c>
      <c r="H173" s="175" t="s">
        <v>108</v>
      </c>
      <c r="I173" s="136" t="s">
        <v>107</v>
      </c>
      <c r="J173" s="172">
        <v>46204.0</v>
      </c>
      <c r="K173" s="172">
        <v>46210.0</v>
      </c>
      <c r="L173" s="172" t="s">
        <v>1504</v>
      </c>
      <c r="M173" s="176"/>
      <c r="N173" s="176"/>
      <c r="O173" s="167" t="s">
        <v>1505</v>
      </c>
      <c r="P173" s="176"/>
      <c r="Q173" s="136"/>
      <c r="R173" s="174" t="s">
        <v>1506</v>
      </c>
      <c r="S173" s="171" t="s">
        <v>303</v>
      </c>
      <c r="T173" s="2"/>
      <c r="U173" s="2"/>
      <c r="V173" s="2"/>
      <c r="W173" s="2"/>
      <c r="X173" s="2"/>
      <c r="Y173" s="2"/>
      <c r="Z173" s="2"/>
      <c r="AA173" s="2"/>
    </row>
    <row r="174" ht="33.75" customHeight="1">
      <c r="A174" s="170" t="s">
        <v>278</v>
      </c>
      <c r="B174" s="170" t="s">
        <v>112</v>
      </c>
      <c r="C174" s="136" t="s">
        <v>1484</v>
      </c>
      <c r="D174" s="170" t="s">
        <v>35</v>
      </c>
      <c r="E174" s="175" t="s">
        <v>1485</v>
      </c>
      <c r="F174" s="171" t="s">
        <v>283</v>
      </c>
      <c r="G174" s="185" t="s">
        <v>517</v>
      </c>
      <c r="H174" s="175" t="s">
        <v>125</v>
      </c>
      <c r="I174" s="136" t="s">
        <v>124</v>
      </c>
      <c r="J174" s="172">
        <v>46204.0</v>
      </c>
      <c r="K174" s="172"/>
      <c r="L174" s="136"/>
      <c r="M174" s="176"/>
      <c r="N174" s="176"/>
      <c r="O174" s="148"/>
      <c r="P174" s="176"/>
      <c r="Q174" s="136"/>
      <c r="R174" s="136"/>
      <c r="S174" s="171" t="s">
        <v>1105</v>
      </c>
      <c r="T174" s="2"/>
      <c r="U174" s="2"/>
      <c r="V174" s="2"/>
      <c r="W174" s="2"/>
      <c r="X174" s="2"/>
      <c r="Y174" s="2"/>
      <c r="Z174" s="2"/>
      <c r="AA174" s="2"/>
    </row>
    <row r="175" ht="33.75" customHeight="1">
      <c r="A175" s="170" t="s">
        <v>278</v>
      </c>
      <c r="B175" s="170" t="s">
        <v>112</v>
      </c>
      <c r="C175" s="136" t="s">
        <v>1484</v>
      </c>
      <c r="D175" s="170" t="s">
        <v>35</v>
      </c>
      <c r="E175" s="175" t="s">
        <v>1485</v>
      </c>
      <c r="F175" s="171" t="s">
        <v>283</v>
      </c>
      <c r="G175" s="185" t="s">
        <v>517</v>
      </c>
      <c r="H175" s="175" t="s">
        <v>1508</v>
      </c>
      <c r="I175" s="136" t="s">
        <v>131</v>
      </c>
      <c r="J175" s="172">
        <v>46204.0</v>
      </c>
      <c r="K175" s="172">
        <v>46214.0</v>
      </c>
      <c r="L175" s="136" t="s">
        <v>1509</v>
      </c>
      <c r="M175" s="176"/>
      <c r="N175" s="176"/>
      <c r="O175" s="21" t="s">
        <v>1488</v>
      </c>
      <c r="P175" s="176"/>
      <c r="Q175" s="136"/>
      <c r="R175" s="174" t="s">
        <v>1510</v>
      </c>
      <c r="S175" s="171" t="s">
        <v>303</v>
      </c>
      <c r="T175" s="2"/>
      <c r="U175" s="2"/>
      <c r="V175" s="2"/>
      <c r="W175" s="2"/>
      <c r="X175" s="2"/>
      <c r="Y175" s="2"/>
      <c r="Z175" s="2"/>
      <c r="AA175" s="2"/>
    </row>
    <row r="176" ht="33.75" customHeight="1">
      <c r="A176" s="170" t="s">
        <v>278</v>
      </c>
      <c r="B176" s="170" t="s">
        <v>112</v>
      </c>
      <c r="C176" s="136" t="s">
        <v>1484</v>
      </c>
      <c r="D176" s="170" t="s">
        <v>35</v>
      </c>
      <c r="E176" s="175" t="s">
        <v>1485</v>
      </c>
      <c r="F176" s="171" t="s">
        <v>283</v>
      </c>
      <c r="G176" s="185" t="s">
        <v>517</v>
      </c>
      <c r="H176" s="175" t="s">
        <v>1511</v>
      </c>
      <c r="I176" s="136" t="s">
        <v>140</v>
      </c>
      <c r="J176" s="172">
        <v>46204.0</v>
      </c>
      <c r="K176" s="172">
        <v>46212.0</v>
      </c>
      <c r="L176" s="136" t="s">
        <v>1512</v>
      </c>
      <c r="M176" s="176"/>
      <c r="N176" s="176"/>
      <c r="O176" s="21" t="s">
        <v>1488</v>
      </c>
      <c r="P176" s="176"/>
      <c r="Q176" s="136"/>
      <c r="R176" s="174" t="s">
        <v>1513</v>
      </c>
      <c r="S176" s="171" t="s">
        <v>303</v>
      </c>
      <c r="T176" s="2"/>
      <c r="U176" s="2"/>
      <c r="V176" s="2"/>
      <c r="W176" s="2"/>
      <c r="X176" s="2"/>
      <c r="Y176" s="2"/>
      <c r="Z176" s="2"/>
      <c r="AA176" s="2"/>
    </row>
    <row r="177" ht="33.75" customHeight="1">
      <c r="A177" s="170" t="s">
        <v>278</v>
      </c>
      <c r="B177" s="170" t="s">
        <v>112</v>
      </c>
      <c r="C177" s="136" t="s">
        <v>1484</v>
      </c>
      <c r="D177" s="170" t="s">
        <v>35</v>
      </c>
      <c r="E177" s="175" t="s">
        <v>1485</v>
      </c>
      <c r="F177" s="171" t="s">
        <v>283</v>
      </c>
      <c r="G177" s="185" t="s">
        <v>517</v>
      </c>
      <c r="H177" s="175" t="s">
        <v>1514</v>
      </c>
      <c r="I177" s="136" t="s">
        <v>154</v>
      </c>
      <c r="J177" s="172">
        <v>46204.0</v>
      </c>
      <c r="K177" s="172">
        <v>46227.0</v>
      </c>
      <c r="L177" s="136" t="s">
        <v>1515</v>
      </c>
      <c r="M177" s="176"/>
      <c r="N177" s="176"/>
      <c r="O177" s="148"/>
      <c r="P177" s="176"/>
      <c r="Q177" s="136"/>
      <c r="R177" s="136"/>
      <c r="S177" s="171" t="s">
        <v>1105</v>
      </c>
      <c r="T177" s="2"/>
      <c r="U177" s="2"/>
      <c r="V177" s="2"/>
      <c r="W177" s="2"/>
      <c r="X177" s="2"/>
      <c r="Y177" s="2"/>
      <c r="Z177" s="2"/>
      <c r="AA177" s="2"/>
    </row>
    <row r="178" ht="33.75" customHeight="1">
      <c r="A178" s="170" t="s">
        <v>278</v>
      </c>
      <c r="B178" s="170" t="s">
        <v>112</v>
      </c>
      <c r="C178" s="136" t="s">
        <v>1484</v>
      </c>
      <c r="D178" s="170" t="s">
        <v>35</v>
      </c>
      <c r="E178" s="175" t="s">
        <v>1485</v>
      </c>
      <c r="F178" s="171" t="s">
        <v>283</v>
      </c>
      <c r="G178" s="185" t="s">
        <v>517</v>
      </c>
      <c r="H178" s="175" t="s">
        <v>169</v>
      </c>
      <c r="I178" s="136" t="s">
        <v>168</v>
      </c>
      <c r="J178" s="172">
        <v>46204.0</v>
      </c>
      <c r="K178" s="172"/>
      <c r="L178" s="136"/>
      <c r="M178" s="176"/>
      <c r="N178" s="176"/>
      <c r="O178" s="148"/>
      <c r="P178" s="176"/>
      <c r="Q178" s="136"/>
      <c r="R178" s="136"/>
      <c r="S178" s="171" t="s">
        <v>1105</v>
      </c>
      <c r="T178" s="2"/>
      <c r="U178" s="2"/>
      <c r="V178" s="2"/>
      <c r="W178" s="2"/>
      <c r="X178" s="2"/>
      <c r="Y178" s="2"/>
      <c r="Z178" s="2"/>
      <c r="AA178" s="2"/>
    </row>
    <row r="179" ht="33.75" customHeight="1">
      <c r="A179" s="170" t="s">
        <v>278</v>
      </c>
      <c r="B179" s="170" t="s">
        <v>112</v>
      </c>
      <c r="C179" s="136" t="s">
        <v>1484</v>
      </c>
      <c r="D179" s="170" t="s">
        <v>35</v>
      </c>
      <c r="E179" s="175" t="s">
        <v>1485</v>
      </c>
      <c r="F179" s="171" t="s">
        <v>283</v>
      </c>
      <c r="G179" s="185" t="s">
        <v>517</v>
      </c>
      <c r="H179" s="175" t="s">
        <v>178</v>
      </c>
      <c r="I179" s="136" t="s">
        <v>177</v>
      </c>
      <c r="J179" s="172">
        <v>46204.0</v>
      </c>
      <c r="K179" s="172">
        <v>46216.0</v>
      </c>
      <c r="L179" s="136" t="s">
        <v>1524</v>
      </c>
      <c r="M179" s="176"/>
      <c r="N179" s="176"/>
      <c r="O179" s="21" t="s">
        <v>1525</v>
      </c>
      <c r="P179" s="176"/>
      <c r="Q179" s="136"/>
      <c r="R179" s="174" t="s">
        <v>1526</v>
      </c>
      <c r="S179" s="171" t="s">
        <v>303</v>
      </c>
      <c r="T179" s="2"/>
      <c r="U179" s="2"/>
      <c r="V179" s="2"/>
      <c r="W179" s="2"/>
      <c r="X179" s="2"/>
      <c r="Y179" s="2"/>
      <c r="Z179" s="2"/>
      <c r="AA179" s="2"/>
    </row>
    <row r="180" ht="33.75" customHeight="1">
      <c r="A180" s="170" t="s">
        <v>278</v>
      </c>
      <c r="B180" s="170" t="s">
        <v>112</v>
      </c>
      <c r="C180" s="136" t="s">
        <v>1484</v>
      </c>
      <c r="D180" s="170" t="s">
        <v>35</v>
      </c>
      <c r="E180" s="175" t="s">
        <v>1485</v>
      </c>
      <c r="F180" s="171" t="s">
        <v>283</v>
      </c>
      <c r="G180" s="185" t="s">
        <v>517</v>
      </c>
      <c r="H180" s="175" t="s">
        <v>190</v>
      </c>
      <c r="I180" s="136" t="s">
        <v>187</v>
      </c>
      <c r="J180" s="172">
        <v>46204.0</v>
      </c>
      <c r="K180" s="172">
        <v>46214.0</v>
      </c>
      <c r="L180" s="136" t="s">
        <v>1529</v>
      </c>
      <c r="M180" s="176"/>
      <c r="N180" s="176"/>
      <c r="O180" s="148" t="s">
        <v>1530</v>
      </c>
      <c r="P180" s="176"/>
      <c r="Q180" s="136"/>
      <c r="R180" s="136"/>
      <c r="S180" s="171" t="s">
        <v>686</v>
      </c>
      <c r="T180" s="2"/>
      <c r="U180" s="2"/>
      <c r="V180" s="2"/>
      <c r="W180" s="2"/>
      <c r="X180" s="2"/>
      <c r="Y180" s="2"/>
      <c r="Z180" s="2"/>
      <c r="AA180" s="2"/>
    </row>
    <row r="181" ht="33.75" customHeight="1">
      <c r="A181" s="170" t="s">
        <v>278</v>
      </c>
      <c r="B181" s="170" t="s">
        <v>112</v>
      </c>
      <c r="C181" s="136" t="s">
        <v>1484</v>
      </c>
      <c r="D181" s="170" t="s">
        <v>35</v>
      </c>
      <c r="E181" s="175" t="s">
        <v>1485</v>
      </c>
      <c r="F181" s="171" t="s">
        <v>283</v>
      </c>
      <c r="G181" s="185" t="s">
        <v>517</v>
      </c>
      <c r="H181" s="175" t="s">
        <v>1533</v>
      </c>
      <c r="I181" s="136" t="s">
        <v>201</v>
      </c>
      <c r="J181" s="172">
        <v>46204.0</v>
      </c>
      <c r="K181" s="172"/>
      <c r="L181" s="136"/>
      <c r="M181" s="176"/>
      <c r="N181" s="176"/>
      <c r="O181" s="148"/>
      <c r="P181" s="176"/>
      <c r="Q181" s="136"/>
      <c r="R181" s="136"/>
      <c r="S181" s="171" t="s">
        <v>1105</v>
      </c>
      <c r="T181" s="2"/>
      <c r="U181" s="2"/>
      <c r="V181" s="2"/>
      <c r="W181" s="2"/>
      <c r="X181" s="2"/>
      <c r="Y181" s="2"/>
      <c r="Z181" s="2"/>
      <c r="AA181" s="2"/>
    </row>
    <row r="182" ht="33.75" customHeight="1">
      <c r="A182" s="170" t="s">
        <v>278</v>
      </c>
      <c r="B182" s="170" t="s">
        <v>112</v>
      </c>
      <c r="C182" s="136" t="s">
        <v>1535</v>
      </c>
      <c r="D182" s="170" t="s">
        <v>35</v>
      </c>
      <c r="E182" s="175"/>
      <c r="F182" s="171" t="s">
        <v>445</v>
      </c>
      <c r="G182" s="185" t="s">
        <v>517</v>
      </c>
      <c r="H182" s="175" t="s">
        <v>1508</v>
      </c>
      <c r="I182" s="136" t="s">
        <v>131</v>
      </c>
      <c r="J182" s="172"/>
      <c r="K182" s="172"/>
      <c r="L182" s="136"/>
      <c r="M182" s="176"/>
      <c r="N182" s="176"/>
      <c r="O182" s="192"/>
      <c r="P182" s="176"/>
      <c r="Q182" s="136"/>
      <c r="R182" s="136"/>
      <c r="S182" s="171" t="s">
        <v>1105</v>
      </c>
      <c r="T182" s="2"/>
      <c r="U182" s="2"/>
      <c r="V182" s="2"/>
      <c r="W182" s="2"/>
      <c r="X182" s="2"/>
      <c r="Y182" s="2"/>
      <c r="Z182" s="2"/>
      <c r="AA182" s="2"/>
    </row>
    <row r="183" ht="33.75" customHeight="1">
      <c r="A183" s="170" t="s">
        <v>278</v>
      </c>
      <c r="B183" s="170" t="s">
        <v>112</v>
      </c>
      <c r="C183" s="136" t="s">
        <v>1538</v>
      </c>
      <c r="D183" s="170" t="s">
        <v>35</v>
      </c>
      <c r="E183" s="175"/>
      <c r="F183" s="171" t="s">
        <v>445</v>
      </c>
      <c r="G183" s="185" t="s">
        <v>285</v>
      </c>
      <c r="H183" s="136">
        <v>1.29900001E9</v>
      </c>
      <c r="I183" s="136" t="s">
        <v>187</v>
      </c>
      <c r="J183" s="172"/>
      <c r="K183" s="172"/>
      <c r="L183" s="136"/>
      <c r="M183" s="176"/>
      <c r="N183" s="176"/>
      <c r="O183" s="192"/>
      <c r="P183" s="176"/>
      <c r="Q183" s="136"/>
      <c r="R183" s="136"/>
      <c r="S183" s="171" t="s">
        <v>1105</v>
      </c>
      <c r="T183" s="2"/>
      <c r="U183" s="2"/>
      <c r="V183" s="2"/>
      <c r="W183" s="2"/>
      <c r="X183" s="2"/>
      <c r="Y183" s="2"/>
      <c r="Z183" s="2"/>
      <c r="AA183" s="2"/>
    </row>
    <row r="184" ht="33.75" customHeight="1">
      <c r="A184" s="193"/>
      <c r="B184" s="193"/>
      <c r="C184" s="136"/>
      <c r="D184" s="193"/>
      <c r="E184" s="175"/>
      <c r="F184" s="194"/>
      <c r="G184" s="195"/>
      <c r="H184" s="136"/>
      <c r="I184" s="136"/>
      <c r="J184" s="172"/>
      <c r="K184" s="172"/>
      <c r="L184" s="136"/>
      <c r="M184" s="176"/>
      <c r="N184" s="176"/>
      <c r="O184" s="192"/>
      <c r="P184" s="176"/>
      <c r="Q184" s="136"/>
      <c r="R184" s="136"/>
      <c r="S184" s="194"/>
      <c r="T184" s="2"/>
      <c r="U184" s="2"/>
      <c r="V184" s="2"/>
      <c r="W184" s="2"/>
      <c r="X184" s="2"/>
      <c r="Y184" s="2"/>
      <c r="Z184" s="2"/>
      <c r="AA184" s="2"/>
    </row>
    <row r="185" ht="33.75" customHeight="1">
      <c r="A185" s="2"/>
      <c r="B185" s="2"/>
      <c r="C185" s="2"/>
      <c r="D185" s="2"/>
      <c r="E185" s="2"/>
      <c r="F185" s="2"/>
      <c r="G185" s="89"/>
      <c r="H185" s="2"/>
      <c r="I185" s="2"/>
      <c r="J185" s="2"/>
      <c r="K185" s="2"/>
      <c r="L185" s="2"/>
      <c r="M185" s="2"/>
      <c r="N185" s="2"/>
      <c r="O185" s="196"/>
      <c r="P185" s="2"/>
      <c r="Q185" s="2"/>
      <c r="R185" s="2"/>
      <c r="S185" s="89"/>
      <c r="T185" s="2"/>
      <c r="U185" s="2"/>
      <c r="V185" s="2"/>
      <c r="W185" s="2"/>
      <c r="X185" s="2"/>
      <c r="Y185" s="2"/>
      <c r="Z185" s="2"/>
      <c r="AA185" s="2"/>
    </row>
    <row r="186" ht="33.75" customHeight="1">
      <c r="A186" s="2"/>
      <c r="B186" s="2"/>
      <c r="C186" s="2"/>
      <c r="D186" s="1"/>
      <c r="E186" s="2"/>
      <c r="F186" s="1"/>
      <c r="G186" s="89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89"/>
      <c r="T186" s="2"/>
      <c r="U186" s="2"/>
      <c r="V186" s="2"/>
      <c r="W186" s="2"/>
      <c r="X186" s="2"/>
      <c r="Y186" s="2"/>
      <c r="Z186" s="2"/>
      <c r="AA186" s="2"/>
    </row>
  </sheetData>
  <mergeCells count="1">
    <mergeCell ref="A1:R4"/>
  </mergeCells>
  <dataValidations>
    <dataValidation type="list" allowBlank="1" sqref="D6:D184">
      <formula1>"BODYSCAN"</formula1>
    </dataValidation>
    <dataValidation type="list" allowBlank="1" sqref="G6:G184">
      <formula1>"SPECTRUM BODYSCAN DV,SPECTRUM BODYSCAN SV"</formula1>
    </dataValidation>
    <dataValidation type="list" allowBlank="1" sqref="F6:F184">
      <formula1>"MANUTENÇÃO PREVENTIVA,MANUTENÇÃO CORRETIVA"</formula1>
    </dataValidation>
    <dataValidation type="list" allowBlank="1" sqref="B6:B184">
      <formula1>"167633/2023"</formula1>
    </dataValidation>
    <dataValidation type="list" allowBlank="1" sqref="S6:S184">
      <formula1>"CONCLUÍDO,PENDENTE,AGUARDANDO MANUTENÇÃO"</formula1>
    </dataValidation>
    <dataValidation type="list" allowBlank="1" sqref="A6:A184">
      <formula1>"002/2024"</formula1>
    </dataValidation>
    <dataValidation allowBlank="1" showDropDown="1" sqref="E6:E184"/>
  </dataValidations>
  <hyperlinks>
    <hyperlink r:id="rId1" ref="Q6"/>
    <hyperlink r:id="rId2" ref="R6"/>
    <hyperlink r:id="rId3" ref="Q7"/>
    <hyperlink r:id="rId4" ref="R7"/>
    <hyperlink r:id="rId5" ref="Q8"/>
    <hyperlink r:id="rId6" ref="R8"/>
    <hyperlink r:id="rId7" ref="Q9"/>
    <hyperlink r:id="rId8" ref="R9"/>
    <hyperlink r:id="rId9" ref="Q10"/>
    <hyperlink r:id="rId10" ref="R10"/>
    <hyperlink r:id="rId11" ref="Q11"/>
    <hyperlink r:id="rId12" ref="R11"/>
    <hyperlink r:id="rId13" ref="Q12"/>
    <hyperlink r:id="rId14" ref="R12"/>
    <hyperlink r:id="rId15" ref="Q13"/>
    <hyperlink r:id="rId16" ref="R13"/>
    <hyperlink r:id="rId17" ref="Q14"/>
    <hyperlink r:id="rId18" ref="R14"/>
    <hyperlink r:id="rId19" ref="Q15"/>
    <hyperlink r:id="rId20" ref="R15"/>
    <hyperlink r:id="rId21" ref="Q16"/>
    <hyperlink r:id="rId22" ref="R16"/>
    <hyperlink r:id="rId23" ref="Q17"/>
    <hyperlink r:id="rId24" ref="R17"/>
    <hyperlink r:id="rId25" ref="Q19"/>
    <hyperlink r:id="rId26" ref="R19"/>
    <hyperlink r:id="rId27" ref="Q20"/>
    <hyperlink r:id="rId28" ref="R20"/>
    <hyperlink r:id="rId29" ref="Q21"/>
    <hyperlink r:id="rId30" ref="R21"/>
    <hyperlink r:id="rId31" ref="Q22"/>
    <hyperlink r:id="rId32" ref="R22"/>
    <hyperlink r:id="rId33" ref="Q23"/>
    <hyperlink r:id="rId34" ref="R23"/>
    <hyperlink r:id="rId35" ref="Q24"/>
    <hyperlink r:id="rId36" ref="R24"/>
    <hyperlink r:id="rId37" ref="Q31"/>
    <hyperlink r:id="rId38" ref="R31"/>
    <hyperlink r:id="rId39" ref="Q32"/>
    <hyperlink r:id="rId40" ref="R32"/>
    <hyperlink r:id="rId41" ref="Q33"/>
    <hyperlink r:id="rId42" ref="R33"/>
    <hyperlink r:id="rId43" ref="Q35"/>
    <hyperlink r:id="rId44" ref="R35"/>
    <hyperlink r:id="rId45" ref="Q45"/>
    <hyperlink r:id="rId46" ref="R45"/>
    <hyperlink r:id="rId47" ref="Q46"/>
    <hyperlink r:id="rId48" ref="R46"/>
    <hyperlink r:id="rId49" ref="Q47"/>
    <hyperlink r:id="rId50" ref="R47"/>
    <hyperlink r:id="rId51" ref="Q48"/>
    <hyperlink r:id="rId52" ref="R48"/>
    <hyperlink r:id="rId53" ref="Q49"/>
    <hyperlink r:id="rId54" ref="R49"/>
    <hyperlink r:id="rId55" ref="Q50"/>
    <hyperlink r:id="rId56" ref="R50"/>
    <hyperlink r:id="rId57" ref="Q51"/>
    <hyperlink r:id="rId58" ref="R51"/>
    <hyperlink r:id="rId59" ref="Q52"/>
    <hyperlink r:id="rId60" ref="R52"/>
    <hyperlink r:id="rId61" ref="Q53"/>
    <hyperlink r:id="rId62" ref="R53"/>
    <hyperlink r:id="rId63" ref="Q54"/>
    <hyperlink r:id="rId64" ref="R54"/>
    <hyperlink r:id="rId65" ref="Q55"/>
    <hyperlink r:id="rId66" ref="R55"/>
    <hyperlink r:id="rId67" ref="Q69"/>
    <hyperlink r:id="rId68" ref="R69"/>
    <hyperlink r:id="rId69" ref="Q70"/>
    <hyperlink r:id="rId70" ref="R70"/>
    <hyperlink r:id="rId71" ref="Q71"/>
    <hyperlink r:id="rId72" ref="R71"/>
    <hyperlink r:id="rId73" ref="Q72"/>
    <hyperlink r:id="rId74" ref="R72"/>
    <hyperlink r:id="rId75" ref="Q73"/>
    <hyperlink r:id="rId76" ref="R73"/>
    <hyperlink r:id="rId77" ref="Q74"/>
    <hyperlink r:id="rId78" ref="R74"/>
    <hyperlink r:id="rId79" ref="Q75"/>
    <hyperlink r:id="rId80" ref="R75"/>
    <hyperlink r:id="rId81" ref="Q76"/>
    <hyperlink r:id="rId82" ref="R76"/>
    <hyperlink r:id="rId83" ref="Q80"/>
    <hyperlink r:id="rId84" ref="R80"/>
    <hyperlink r:id="rId85" ref="Q81"/>
    <hyperlink r:id="rId86" ref="R81"/>
    <hyperlink r:id="rId87" ref="Q82"/>
    <hyperlink r:id="rId88" ref="R82"/>
    <hyperlink r:id="rId89" ref="Q83"/>
    <hyperlink r:id="rId90" ref="R83"/>
    <hyperlink r:id="rId91" ref="Q84"/>
    <hyperlink r:id="rId92" ref="R84"/>
    <hyperlink r:id="rId93" ref="Q85"/>
    <hyperlink r:id="rId94" ref="R85"/>
    <hyperlink r:id="rId95" ref="Q86"/>
    <hyperlink r:id="rId96" ref="R86"/>
    <hyperlink r:id="rId97" ref="Q87"/>
    <hyperlink r:id="rId98" ref="R87"/>
    <hyperlink r:id="rId99" ref="Q88"/>
    <hyperlink r:id="rId100" ref="R88"/>
    <hyperlink r:id="rId101" ref="Q89"/>
    <hyperlink r:id="rId102" ref="R89"/>
    <hyperlink r:id="rId103" ref="Q90"/>
    <hyperlink r:id="rId104" ref="R90"/>
    <hyperlink r:id="rId105" ref="Q91"/>
    <hyperlink r:id="rId106" ref="R91"/>
    <hyperlink r:id="rId107" ref="Q92"/>
    <hyperlink r:id="rId108" ref="R92"/>
    <hyperlink r:id="rId109" ref="Q93"/>
    <hyperlink r:id="rId110" ref="R93"/>
    <hyperlink r:id="rId111" ref="Q94"/>
    <hyperlink r:id="rId112" ref="R94"/>
    <hyperlink r:id="rId113" ref="Q95"/>
    <hyperlink r:id="rId114" ref="R95"/>
    <hyperlink r:id="rId115" ref="Q96"/>
    <hyperlink r:id="rId116" ref="R96"/>
    <hyperlink r:id="rId117" ref="Q97"/>
    <hyperlink r:id="rId118" ref="R97"/>
    <hyperlink r:id="rId119" ref="Q98"/>
    <hyperlink r:id="rId120" ref="R98"/>
    <hyperlink r:id="rId121" ref="Q99"/>
    <hyperlink r:id="rId122" ref="R99"/>
    <hyperlink r:id="rId123" ref="Q100"/>
    <hyperlink r:id="rId124" ref="R100"/>
    <hyperlink r:id="rId125" ref="Q101"/>
    <hyperlink r:id="rId126" ref="R101"/>
    <hyperlink r:id="rId127" ref="Q102"/>
    <hyperlink r:id="rId128" ref="R102"/>
    <hyperlink r:id="rId129" ref="Q103"/>
    <hyperlink r:id="rId130" ref="R103"/>
    <hyperlink r:id="rId131" ref="Q104"/>
    <hyperlink r:id="rId132" ref="R104"/>
    <hyperlink r:id="rId133" ref="Q105"/>
    <hyperlink r:id="rId134" ref="R105"/>
    <hyperlink r:id="rId135" ref="Q106"/>
    <hyperlink r:id="rId136" ref="R106"/>
    <hyperlink r:id="rId137" ref="Q107"/>
    <hyperlink r:id="rId138" ref="R107"/>
    <hyperlink r:id="rId139" ref="Q108"/>
    <hyperlink r:id="rId140" ref="R108"/>
    <hyperlink r:id="rId141" ref="Q109"/>
    <hyperlink r:id="rId142" ref="R109"/>
    <hyperlink r:id="rId143" ref="Q110"/>
    <hyperlink r:id="rId144" ref="R110"/>
    <hyperlink r:id="rId145" ref="Q111"/>
    <hyperlink r:id="rId146" ref="R111"/>
    <hyperlink r:id="rId147" ref="Q112"/>
    <hyperlink r:id="rId148" ref="R112"/>
    <hyperlink r:id="rId149" ref="Q113"/>
    <hyperlink r:id="rId150" ref="R113"/>
    <hyperlink r:id="rId151" ref="Q114"/>
    <hyperlink r:id="rId152" ref="R114"/>
    <hyperlink r:id="rId153" ref="Q115"/>
    <hyperlink r:id="rId154" ref="R115"/>
    <hyperlink r:id="rId155" ref="Q116"/>
    <hyperlink r:id="rId156" ref="R116"/>
    <hyperlink r:id="rId157" ref="Q117"/>
    <hyperlink r:id="rId158" ref="R117"/>
    <hyperlink r:id="rId159" ref="Q118"/>
    <hyperlink r:id="rId160" ref="R118"/>
    <hyperlink r:id="rId161" ref="Q119"/>
    <hyperlink r:id="rId162" ref="R119"/>
    <hyperlink r:id="rId163" ref="Q120"/>
    <hyperlink r:id="rId164" ref="R120"/>
    <hyperlink r:id="rId165" ref="Q121"/>
    <hyperlink r:id="rId166" ref="R121"/>
    <hyperlink r:id="rId167" ref="Q122"/>
    <hyperlink r:id="rId168" ref="R122"/>
    <hyperlink r:id="rId169" ref="Q123"/>
    <hyperlink r:id="rId170" ref="R123"/>
    <hyperlink r:id="rId171" ref="Q124"/>
    <hyperlink r:id="rId172" ref="R124"/>
    <hyperlink r:id="rId173" ref="Q125"/>
    <hyperlink r:id="rId174" ref="R125"/>
    <hyperlink r:id="rId175" ref="Q126"/>
    <hyperlink r:id="rId176" ref="R126"/>
    <hyperlink r:id="rId177" ref="Q127"/>
    <hyperlink r:id="rId178" ref="Q128"/>
    <hyperlink r:id="rId179" ref="R128"/>
    <hyperlink r:id="rId180" ref="Q129"/>
    <hyperlink r:id="rId181" ref="R129"/>
    <hyperlink r:id="rId182" ref="R130"/>
    <hyperlink r:id="rId183" ref="R131"/>
    <hyperlink r:id="rId184" ref="Q132"/>
    <hyperlink r:id="rId185" ref="R132"/>
    <hyperlink r:id="rId186" ref="Q133"/>
    <hyperlink r:id="rId187" ref="R133"/>
    <hyperlink r:id="rId188" ref="R134"/>
    <hyperlink r:id="rId189" ref="R135"/>
    <hyperlink r:id="rId190" ref="R136"/>
    <hyperlink r:id="rId191" ref="R137"/>
    <hyperlink r:id="rId192" ref="R138"/>
    <hyperlink r:id="rId193" ref="R145"/>
    <hyperlink r:id="rId194" ref="Q146"/>
    <hyperlink r:id="rId195" ref="R146"/>
    <hyperlink r:id="rId196" ref="Q147"/>
    <hyperlink r:id="rId197" ref="R147"/>
    <hyperlink r:id="rId198" ref="Q148"/>
    <hyperlink r:id="rId199" ref="R148"/>
    <hyperlink r:id="rId200" ref="Q149"/>
    <hyperlink r:id="rId201" ref="R149"/>
    <hyperlink r:id="rId202" ref="Q150"/>
    <hyperlink r:id="rId203" ref="R150"/>
    <hyperlink r:id="rId204" ref="Q151"/>
    <hyperlink r:id="rId205" ref="R151"/>
    <hyperlink r:id="rId206" ref="Q152"/>
    <hyperlink r:id="rId207" ref="R152"/>
    <hyperlink r:id="rId208" ref="Q153"/>
    <hyperlink r:id="rId209" ref="R153"/>
    <hyperlink r:id="rId210" ref="Q154"/>
    <hyperlink r:id="rId211" ref="R154"/>
    <hyperlink r:id="rId212" ref="Q155"/>
    <hyperlink r:id="rId213" ref="R155"/>
    <hyperlink r:id="rId214" ref="Q156"/>
    <hyperlink r:id="rId215" ref="R156"/>
    <hyperlink r:id="rId216" ref="Q157"/>
    <hyperlink r:id="rId217" ref="R157"/>
    <hyperlink r:id="rId218" ref="Q158"/>
    <hyperlink r:id="rId219" ref="R158"/>
    <hyperlink r:id="rId220" ref="Q159"/>
    <hyperlink r:id="rId221" ref="R159"/>
    <hyperlink r:id="rId222" ref="Q160"/>
    <hyperlink r:id="rId223" ref="R160"/>
    <hyperlink r:id="rId224" ref="Q161"/>
    <hyperlink r:id="rId225" ref="R161"/>
    <hyperlink r:id="rId226" ref="Q162"/>
    <hyperlink r:id="rId227" ref="R162"/>
    <hyperlink r:id="rId228" ref="Q164"/>
    <hyperlink r:id="rId229" ref="R164"/>
    <hyperlink r:id="rId230" ref="Q165"/>
    <hyperlink r:id="rId231" ref="R165"/>
    <hyperlink r:id="rId232" ref="R166"/>
    <hyperlink r:id="rId233" ref="R167"/>
    <hyperlink r:id="rId234" ref="R168"/>
    <hyperlink r:id="rId235" ref="R169"/>
    <hyperlink r:id="rId236" ref="R170"/>
    <hyperlink r:id="rId237" ref="R172"/>
    <hyperlink r:id="rId238" ref="R173"/>
    <hyperlink r:id="rId239" ref="R175"/>
    <hyperlink r:id="rId240" ref="R176"/>
    <hyperlink r:id="rId241" ref="R179"/>
  </hyperlinks>
  <drawing r:id="rId242"/>
  <tableParts count="1">
    <tablePart r:id="rId24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7.38"/>
    <col customWidth="1" min="2" max="2" width="17.25"/>
    <col customWidth="1" min="3" max="3" width="24.0"/>
    <col customWidth="1" min="4" max="4" width="20.13"/>
    <col customWidth="1" min="5" max="5" width="33.38"/>
    <col customWidth="1" min="6" max="6" width="33.13"/>
    <col customWidth="1" min="7" max="7" width="17.38"/>
    <col customWidth="1" min="8" max="8" width="26.75"/>
    <col customWidth="1" min="9" max="9" width="28.13"/>
    <col customWidth="1" min="10" max="10" width="22.38"/>
    <col customWidth="1" min="11" max="11" width="21.0"/>
    <col customWidth="1" min="12" max="12" width="24.75"/>
    <col customWidth="1" min="13" max="13" width="24.5"/>
    <col customWidth="1" min="14" max="14" width="29.38"/>
    <col customWidth="1" min="15" max="15" width="213.38"/>
    <col customWidth="1" min="16" max="16" width="50.63"/>
    <col customWidth="1" min="17" max="17" width="27.38"/>
    <col customWidth="1" min="18" max="18" width="15.0"/>
    <col customWidth="1" min="19" max="19" width="32.63"/>
    <col customWidth="1" min="20" max="20" width="29.13"/>
    <col customWidth="1" min="21" max="21" width="24.13"/>
    <col customWidth="1" min="22" max="22" width="18.38"/>
    <col customWidth="1" min="23" max="23" width="25.88"/>
  </cols>
  <sheetData>
    <row r="1">
      <c r="A1" s="125" t="s">
        <v>360</v>
      </c>
    </row>
    <row r="4" ht="56.25" customHeight="1"/>
    <row r="5" ht="22.5" customHeight="1">
      <c r="A5" s="21" t="s">
        <v>2</v>
      </c>
      <c r="B5" s="42" t="s">
        <v>259</v>
      </c>
      <c r="C5" s="42" t="s">
        <v>261</v>
      </c>
      <c r="D5" s="42" t="s">
        <v>5</v>
      </c>
      <c r="E5" s="37" t="s">
        <v>262</v>
      </c>
      <c r="F5" s="21" t="s">
        <v>12</v>
      </c>
      <c r="G5" s="21" t="s">
        <v>9</v>
      </c>
      <c r="H5" s="37" t="s">
        <v>208</v>
      </c>
      <c r="I5" s="21" t="s">
        <v>8</v>
      </c>
      <c r="J5" s="37" t="s">
        <v>370</v>
      </c>
      <c r="K5" s="21" t="s">
        <v>266</v>
      </c>
      <c r="L5" s="21" t="s">
        <v>268</v>
      </c>
      <c r="M5" s="37" t="s">
        <v>267</v>
      </c>
      <c r="N5" s="21" t="s">
        <v>269</v>
      </c>
      <c r="O5" s="37" t="s">
        <v>271</v>
      </c>
      <c r="P5" s="21" t="s">
        <v>274</v>
      </c>
      <c r="Q5" s="21" t="s">
        <v>276</v>
      </c>
      <c r="R5" s="21" t="s">
        <v>277</v>
      </c>
      <c r="S5" s="37" t="s">
        <v>263</v>
      </c>
      <c r="T5" s="37" t="s">
        <v>374</v>
      </c>
      <c r="U5" s="37" t="s">
        <v>375</v>
      </c>
      <c r="V5" s="37" t="s">
        <v>376</v>
      </c>
      <c r="W5" s="21" t="s">
        <v>22</v>
      </c>
    </row>
    <row r="6" ht="22.5" customHeight="1">
      <c r="A6" s="126" t="s">
        <v>377</v>
      </c>
      <c r="B6" s="50" t="s">
        <v>379</v>
      </c>
      <c r="C6" s="42" t="s">
        <v>226</v>
      </c>
      <c r="D6" s="50" t="s">
        <v>380</v>
      </c>
      <c r="E6" s="37" t="s">
        <v>382</v>
      </c>
      <c r="F6" s="126" t="s">
        <v>220</v>
      </c>
      <c r="G6" s="21">
        <v>35805.0</v>
      </c>
      <c r="H6" s="21"/>
      <c r="I6" s="21" t="s">
        <v>384</v>
      </c>
      <c r="J6" s="127"/>
      <c r="K6" s="128">
        <v>45994.0</v>
      </c>
      <c r="L6" s="127"/>
      <c r="M6" s="21"/>
      <c r="N6" s="127"/>
      <c r="O6" s="21" t="s">
        <v>390</v>
      </c>
      <c r="P6" s="127"/>
      <c r="Q6" s="127"/>
      <c r="R6" s="127"/>
      <c r="S6" s="126"/>
      <c r="T6" s="128"/>
      <c r="U6" s="128"/>
      <c r="V6" s="21"/>
      <c r="W6" s="126"/>
    </row>
    <row r="7" ht="22.5" customHeight="1">
      <c r="A7" s="126" t="s">
        <v>377</v>
      </c>
      <c r="B7" s="50" t="s">
        <v>379</v>
      </c>
      <c r="C7" s="42" t="s">
        <v>226</v>
      </c>
      <c r="D7" s="50" t="s">
        <v>380</v>
      </c>
      <c r="E7" s="37" t="s">
        <v>382</v>
      </c>
      <c r="F7" s="126" t="s">
        <v>220</v>
      </c>
      <c r="G7" s="21">
        <v>34340.0</v>
      </c>
      <c r="H7" s="21"/>
      <c r="I7" s="21" t="s">
        <v>384</v>
      </c>
      <c r="J7" s="127"/>
      <c r="K7" s="128">
        <v>45994.0</v>
      </c>
      <c r="L7" s="127"/>
      <c r="M7" s="21"/>
      <c r="N7" s="127"/>
      <c r="O7" s="21" t="s">
        <v>401</v>
      </c>
      <c r="P7" s="127"/>
      <c r="Q7" s="127"/>
      <c r="R7" s="127"/>
      <c r="S7" s="126"/>
      <c r="T7" s="128"/>
      <c r="U7" s="128"/>
      <c r="V7" s="21"/>
      <c r="W7" s="126"/>
    </row>
    <row r="8" ht="22.5" customHeight="1">
      <c r="A8" s="126" t="s">
        <v>377</v>
      </c>
      <c r="B8" s="50" t="s">
        <v>379</v>
      </c>
      <c r="C8" s="42" t="s">
        <v>226</v>
      </c>
      <c r="D8" s="50" t="s">
        <v>380</v>
      </c>
      <c r="E8" s="37" t="s">
        <v>382</v>
      </c>
      <c r="F8" s="126" t="s">
        <v>220</v>
      </c>
      <c r="G8" s="21">
        <v>39609.0</v>
      </c>
      <c r="H8" s="21"/>
      <c r="I8" s="21" t="s">
        <v>384</v>
      </c>
      <c r="J8" s="127"/>
      <c r="K8" s="128">
        <v>45994.0</v>
      </c>
      <c r="L8" s="127"/>
      <c r="M8" s="21"/>
      <c r="N8" s="127"/>
      <c r="O8" s="21" t="s">
        <v>408</v>
      </c>
      <c r="P8" s="127"/>
      <c r="Q8" s="127"/>
      <c r="R8" s="127"/>
      <c r="S8" s="126"/>
      <c r="T8" s="128"/>
      <c r="U8" s="128"/>
      <c r="V8" s="21"/>
      <c r="W8" s="126"/>
    </row>
    <row r="9" ht="22.5" customHeight="1">
      <c r="A9" s="126" t="s">
        <v>377</v>
      </c>
      <c r="B9" s="50" t="s">
        <v>379</v>
      </c>
      <c r="C9" s="42" t="s">
        <v>226</v>
      </c>
      <c r="D9" s="50" t="s">
        <v>380</v>
      </c>
      <c r="E9" s="37" t="s">
        <v>382</v>
      </c>
      <c r="F9" s="126" t="s">
        <v>220</v>
      </c>
      <c r="G9" s="21">
        <v>34305.0</v>
      </c>
      <c r="H9" s="21"/>
      <c r="I9" s="21" t="s">
        <v>384</v>
      </c>
      <c r="J9" s="127"/>
      <c r="K9" s="128">
        <v>45994.0</v>
      </c>
      <c r="L9" s="127"/>
      <c r="M9" s="21"/>
      <c r="N9" s="127"/>
      <c r="O9" s="21" t="s">
        <v>417</v>
      </c>
      <c r="P9" s="127"/>
      <c r="Q9" s="127"/>
      <c r="R9" s="127"/>
      <c r="S9" s="126"/>
      <c r="T9" s="128"/>
      <c r="U9" s="128"/>
      <c r="V9" s="21"/>
      <c r="W9" s="126"/>
    </row>
    <row r="10" ht="22.5" customHeight="1">
      <c r="A10" s="126" t="s">
        <v>377</v>
      </c>
      <c r="B10" s="50" t="s">
        <v>379</v>
      </c>
      <c r="C10" s="42" t="s">
        <v>226</v>
      </c>
      <c r="D10" s="50" t="s">
        <v>380</v>
      </c>
      <c r="E10" s="37" t="s">
        <v>382</v>
      </c>
      <c r="F10" s="126" t="s">
        <v>220</v>
      </c>
      <c r="G10" s="21">
        <v>39557.0</v>
      </c>
      <c r="H10" s="21"/>
      <c r="I10" s="21" t="s">
        <v>384</v>
      </c>
      <c r="J10" s="127"/>
      <c r="K10" s="128">
        <v>45994.0</v>
      </c>
      <c r="L10" s="127"/>
      <c r="M10" s="21"/>
      <c r="N10" s="127"/>
      <c r="O10" s="21" t="s">
        <v>427</v>
      </c>
      <c r="P10" s="127"/>
      <c r="Q10" s="127"/>
      <c r="R10" s="127"/>
      <c r="S10" s="126"/>
      <c r="T10" s="128"/>
      <c r="U10" s="128"/>
      <c r="V10" s="21"/>
      <c r="W10" s="126"/>
    </row>
    <row r="11" ht="22.5" customHeight="1">
      <c r="A11" s="126" t="s">
        <v>377</v>
      </c>
      <c r="B11" s="50" t="s">
        <v>379</v>
      </c>
      <c r="C11" s="42" t="s">
        <v>226</v>
      </c>
      <c r="D11" s="50" t="s">
        <v>380</v>
      </c>
      <c r="E11" s="37" t="s">
        <v>382</v>
      </c>
      <c r="F11" s="126" t="s">
        <v>220</v>
      </c>
      <c r="G11" s="21" t="s">
        <v>222</v>
      </c>
      <c r="H11" s="21"/>
      <c r="I11" s="21" t="s">
        <v>217</v>
      </c>
      <c r="J11" s="127"/>
      <c r="K11" s="128"/>
      <c r="L11" s="127"/>
      <c r="M11" s="21"/>
      <c r="N11" s="127"/>
      <c r="O11" s="127"/>
      <c r="P11" s="127"/>
      <c r="Q11" s="127"/>
      <c r="R11" s="127"/>
      <c r="S11" s="126"/>
      <c r="T11" s="128"/>
      <c r="U11" s="128"/>
      <c r="V11" s="21"/>
      <c r="W11" s="126"/>
    </row>
    <row r="12" ht="22.5" customHeight="1">
      <c r="A12" s="126" t="s">
        <v>377</v>
      </c>
      <c r="B12" s="50" t="s">
        <v>379</v>
      </c>
      <c r="C12" s="42" t="s">
        <v>226</v>
      </c>
      <c r="D12" s="50" t="s">
        <v>380</v>
      </c>
      <c r="E12" s="37" t="s">
        <v>382</v>
      </c>
      <c r="F12" s="126" t="s">
        <v>220</v>
      </c>
      <c r="G12" s="21" t="s">
        <v>237</v>
      </c>
      <c r="H12" s="21"/>
      <c r="I12" s="21" t="s">
        <v>37</v>
      </c>
      <c r="J12" s="127"/>
      <c r="K12" s="128"/>
      <c r="L12" s="127"/>
      <c r="M12" s="21"/>
      <c r="N12" s="127"/>
      <c r="O12" s="127"/>
      <c r="P12" s="127"/>
      <c r="Q12" s="127"/>
      <c r="R12" s="127"/>
      <c r="S12" s="126"/>
      <c r="T12" s="128"/>
      <c r="U12" s="128"/>
      <c r="V12" s="21"/>
      <c r="W12" s="126"/>
    </row>
    <row r="13" ht="22.5" customHeight="1">
      <c r="A13" s="126" t="s">
        <v>377</v>
      </c>
      <c r="B13" s="50" t="s">
        <v>379</v>
      </c>
      <c r="C13" s="42" t="s">
        <v>226</v>
      </c>
      <c r="D13" s="50" t="s">
        <v>380</v>
      </c>
      <c r="E13" s="37" t="s">
        <v>382</v>
      </c>
      <c r="F13" s="126" t="s">
        <v>220</v>
      </c>
      <c r="G13" s="21" t="s">
        <v>244</v>
      </c>
      <c r="H13" s="21"/>
      <c r="I13" s="21" t="s">
        <v>37</v>
      </c>
      <c r="J13" s="127"/>
      <c r="K13" s="128"/>
      <c r="L13" s="127"/>
      <c r="M13" s="21"/>
      <c r="N13" s="127"/>
      <c r="O13" s="127"/>
      <c r="P13" s="127"/>
      <c r="Q13" s="127"/>
      <c r="R13" s="127"/>
      <c r="S13" s="126"/>
      <c r="T13" s="128"/>
      <c r="U13" s="128"/>
      <c r="V13" s="21"/>
      <c r="W13" s="126"/>
    </row>
    <row r="14" ht="22.5" customHeight="1">
      <c r="A14" s="126" t="s">
        <v>377</v>
      </c>
      <c r="B14" s="50" t="s">
        <v>379</v>
      </c>
      <c r="C14" s="42" t="s">
        <v>226</v>
      </c>
      <c r="D14" s="50" t="s">
        <v>380</v>
      </c>
      <c r="E14" s="37" t="s">
        <v>382</v>
      </c>
      <c r="F14" s="126" t="s">
        <v>220</v>
      </c>
      <c r="G14" s="21" t="s">
        <v>255</v>
      </c>
      <c r="H14" s="21"/>
      <c r="I14" s="21" t="s">
        <v>70</v>
      </c>
      <c r="J14" s="127"/>
      <c r="K14" s="128"/>
      <c r="L14" s="127"/>
      <c r="M14" s="21"/>
      <c r="N14" s="127"/>
      <c r="O14" s="127"/>
      <c r="P14" s="127"/>
      <c r="Q14" s="127"/>
      <c r="R14" s="127"/>
      <c r="S14" s="126"/>
      <c r="T14" s="128"/>
      <c r="U14" s="128"/>
      <c r="V14" s="21"/>
      <c r="W14" s="126"/>
    </row>
    <row r="15" ht="22.5" customHeight="1">
      <c r="A15" s="126" t="s">
        <v>377</v>
      </c>
      <c r="B15" s="50" t="s">
        <v>379</v>
      </c>
      <c r="C15" s="93" t="s">
        <v>226</v>
      </c>
      <c r="D15" s="50" t="s">
        <v>380</v>
      </c>
      <c r="E15" s="37" t="s">
        <v>382</v>
      </c>
      <c r="F15" s="126" t="s">
        <v>220</v>
      </c>
      <c r="G15" s="21" t="s">
        <v>272</v>
      </c>
      <c r="H15" s="21"/>
      <c r="I15" s="21" t="s">
        <v>70</v>
      </c>
      <c r="J15" s="127"/>
      <c r="K15" s="128"/>
      <c r="L15" s="127"/>
      <c r="M15" s="21"/>
      <c r="N15" s="127"/>
      <c r="O15" s="127"/>
      <c r="P15" s="127"/>
      <c r="Q15" s="127"/>
      <c r="R15" s="127"/>
      <c r="S15" s="126"/>
      <c r="T15" s="128"/>
      <c r="U15" s="128"/>
      <c r="V15" s="21"/>
      <c r="W15" s="126"/>
    </row>
    <row r="16" ht="22.5" customHeight="1">
      <c r="A16" s="126" t="s">
        <v>377</v>
      </c>
      <c r="B16" s="50" t="s">
        <v>379</v>
      </c>
      <c r="C16" s="42" t="s">
        <v>226</v>
      </c>
      <c r="D16" s="50" t="s">
        <v>380</v>
      </c>
      <c r="E16" s="37" t="s">
        <v>382</v>
      </c>
      <c r="F16" s="126" t="s">
        <v>220</v>
      </c>
      <c r="G16" s="21" t="s">
        <v>287</v>
      </c>
      <c r="H16" s="21"/>
      <c r="I16" s="21" t="s">
        <v>90</v>
      </c>
      <c r="J16" s="127"/>
      <c r="K16" s="128"/>
      <c r="L16" s="127"/>
      <c r="M16" s="21"/>
      <c r="N16" s="127"/>
      <c r="O16" s="127"/>
      <c r="P16" s="127"/>
      <c r="Q16" s="127"/>
      <c r="R16" s="127"/>
      <c r="S16" s="126"/>
      <c r="T16" s="128"/>
      <c r="U16" s="128"/>
      <c r="V16" s="21"/>
      <c r="W16" s="126"/>
    </row>
    <row r="17" ht="22.5" customHeight="1">
      <c r="A17" s="126" t="s">
        <v>377</v>
      </c>
      <c r="B17" s="50" t="s">
        <v>379</v>
      </c>
      <c r="C17" s="42" t="s">
        <v>226</v>
      </c>
      <c r="D17" s="50" t="s">
        <v>380</v>
      </c>
      <c r="E17" s="37" t="s">
        <v>382</v>
      </c>
      <c r="F17" s="126" t="s">
        <v>220</v>
      </c>
      <c r="G17" s="21" t="s">
        <v>304</v>
      </c>
      <c r="H17" s="21"/>
      <c r="I17" s="21" t="s">
        <v>168</v>
      </c>
      <c r="J17" s="131"/>
      <c r="K17" s="131"/>
      <c r="L17" s="127"/>
      <c r="M17" s="21"/>
      <c r="N17" s="127"/>
      <c r="O17" s="127"/>
      <c r="P17" s="127"/>
      <c r="Q17" s="127"/>
      <c r="R17" s="127"/>
      <c r="S17" s="126"/>
      <c r="T17" s="128"/>
      <c r="U17" s="128"/>
      <c r="V17" s="21"/>
      <c r="W17" s="126"/>
    </row>
    <row r="18" ht="22.5" customHeight="1">
      <c r="A18" s="126" t="s">
        <v>377</v>
      </c>
      <c r="B18" s="50" t="s">
        <v>379</v>
      </c>
      <c r="C18" s="42" t="s">
        <v>226</v>
      </c>
      <c r="D18" s="50" t="s">
        <v>380</v>
      </c>
      <c r="E18" s="37" t="s">
        <v>382</v>
      </c>
      <c r="F18" s="126" t="s">
        <v>220</v>
      </c>
      <c r="G18" s="21">
        <v>19721.0</v>
      </c>
      <c r="H18" s="21"/>
      <c r="I18" s="21" t="s">
        <v>309</v>
      </c>
      <c r="J18" s="128"/>
      <c r="K18" s="128"/>
      <c r="L18" s="127"/>
      <c r="M18" s="21"/>
      <c r="N18" s="127"/>
      <c r="O18" s="21" t="s">
        <v>514</v>
      </c>
      <c r="P18" s="127"/>
      <c r="Q18" s="127"/>
      <c r="R18" s="127"/>
      <c r="S18" s="126"/>
      <c r="T18" s="128"/>
      <c r="U18" s="128"/>
      <c r="V18" s="21"/>
      <c r="W18" s="126"/>
    </row>
    <row r="19" ht="22.5" customHeight="1">
      <c r="A19" s="126" t="s">
        <v>377</v>
      </c>
      <c r="B19" s="50" t="s">
        <v>379</v>
      </c>
      <c r="C19" s="42" t="s">
        <v>226</v>
      </c>
      <c r="D19" s="50" t="s">
        <v>380</v>
      </c>
      <c r="E19" s="37" t="s">
        <v>382</v>
      </c>
      <c r="F19" s="126" t="s">
        <v>220</v>
      </c>
      <c r="G19" s="21">
        <v>34334.0</v>
      </c>
      <c r="H19" s="21"/>
      <c r="I19" s="21" t="s">
        <v>309</v>
      </c>
      <c r="J19" s="128"/>
      <c r="K19" s="128"/>
      <c r="L19" s="127"/>
      <c r="M19" s="21"/>
      <c r="N19" s="127"/>
      <c r="O19" s="127"/>
      <c r="P19" s="127"/>
      <c r="Q19" s="127"/>
      <c r="R19" s="127"/>
      <c r="S19" s="126"/>
      <c r="T19" s="128"/>
      <c r="U19" s="128"/>
      <c r="V19" s="21"/>
      <c r="W19" s="126"/>
    </row>
    <row r="20" ht="22.5" customHeight="1">
      <c r="A20" s="126" t="s">
        <v>377</v>
      </c>
      <c r="B20" s="50" t="s">
        <v>379</v>
      </c>
      <c r="C20" s="42" t="s">
        <v>226</v>
      </c>
      <c r="D20" s="50" t="s">
        <v>380</v>
      </c>
      <c r="E20" s="37" t="s">
        <v>382</v>
      </c>
      <c r="F20" s="126" t="s">
        <v>220</v>
      </c>
      <c r="G20" s="21">
        <v>35793.0</v>
      </c>
      <c r="H20" s="21"/>
      <c r="I20" s="21" t="s">
        <v>309</v>
      </c>
      <c r="J20" s="128"/>
      <c r="K20" s="131"/>
      <c r="L20" s="127"/>
      <c r="M20" s="21"/>
      <c r="N20" s="127"/>
      <c r="O20" s="127"/>
      <c r="P20" s="127"/>
      <c r="Q20" s="127"/>
      <c r="R20" s="127"/>
      <c r="S20" s="126"/>
      <c r="T20" s="128"/>
      <c r="U20" s="128"/>
      <c r="V20" s="21"/>
      <c r="W20" s="126"/>
    </row>
    <row r="21" ht="22.5" customHeight="1">
      <c r="A21" s="126" t="s">
        <v>377</v>
      </c>
      <c r="B21" s="50" t="s">
        <v>379</v>
      </c>
      <c r="C21" s="42" t="s">
        <v>226</v>
      </c>
      <c r="D21" s="50" t="s">
        <v>380</v>
      </c>
      <c r="E21" s="37" t="s">
        <v>382</v>
      </c>
      <c r="F21" s="126" t="s">
        <v>220</v>
      </c>
      <c r="G21" s="21">
        <v>34335.0</v>
      </c>
      <c r="H21" s="21"/>
      <c r="I21" s="21" t="s">
        <v>309</v>
      </c>
      <c r="J21" s="128"/>
      <c r="K21" s="128"/>
      <c r="L21" s="127"/>
      <c r="M21" s="21"/>
      <c r="N21" s="127"/>
      <c r="O21" s="127"/>
      <c r="P21" s="127"/>
      <c r="Q21" s="127"/>
      <c r="R21" s="127"/>
      <c r="S21" s="126"/>
      <c r="T21" s="128"/>
      <c r="U21" s="128"/>
      <c r="V21" s="21"/>
      <c r="W21" s="126"/>
    </row>
    <row r="22" ht="22.5" customHeight="1">
      <c r="A22" s="126" t="s">
        <v>377</v>
      </c>
      <c r="B22" s="50" t="s">
        <v>379</v>
      </c>
      <c r="C22" s="42" t="s">
        <v>226</v>
      </c>
      <c r="D22" s="50" t="s">
        <v>380</v>
      </c>
      <c r="E22" s="37" t="s">
        <v>382</v>
      </c>
      <c r="F22" s="126" t="s">
        <v>220</v>
      </c>
      <c r="G22" s="21">
        <v>14766.0</v>
      </c>
      <c r="H22" s="21"/>
      <c r="I22" s="21" t="s">
        <v>309</v>
      </c>
      <c r="J22" s="128"/>
      <c r="K22" s="128"/>
      <c r="L22" s="127"/>
      <c r="M22" s="21"/>
      <c r="N22" s="127"/>
      <c r="O22" s="127"/>
      <c r="P22" s="127"/>
      <c r="Q22" s="127"/>
      <c r="R22" s="127"/>
      <c r="S22" s="126"/>
      <c r="T22" s="128"/>
      <c r="U22" s="128"/>
      <c r="V22" s="21"/>
      <c r="W22" s="126"/>
    </row>
    <row r="23" ht="22.5" customHeight="1">
      <c r="A23" s="126" t="s">
        <v>377</v>
      </c>
      <c r="B23" s="50" t="s">
        <v>379</v>
      </c>
      <c r="C23" s="42" t="s">
        <v>226</v>
      </c>
      <c r="D23" s="50" t="s">
        <v>380</v>
      </c>
      <c r="E23" s="37" t="s">
        <v>382</v>
      </c>
      <c r="F23" s="126" t="s">
        <v>220</v>
      </c>
      <c r="G23" s="21">
        <v>34347.0</v>
      </c>
      <c r="H23" s="21"/>
      <c r="I23" s="21" t="s">
        <v>313</v>
      </c>
      <c r="J23" s="128"/>
      <c r="K23" s="128"/>
      <c r="L23" s="127"/>
      <c r="M23" s="21"/>
      <c r="N23" s="127"/>
      <c r="O23" s="127"/>
      <c r="P23" s="127"/>
      <c r="Q23" s="127"/>
      <c r="R23" s="127"/>
      <c r="S23" s="126"/>
      <c r="T23" s="128"/>
      <c r="U23" s="128"/>
      <c r="V23" s="21"/>
      <c r="W23" s="126"/>
    </row>
    <row r="24" ht="22.5" customHeight="1">
      <c r="A24" s="126" t="s">
        <v>377</v>
      </c>
      <c r="B24" s="50" t="s">
        <v>379</v>
      </c>
      <c r="C24" s="42" t="s">
        <v>226</v>
      </c>
      <c r="D24" s="50" t="s">
        <v>380</v>
      </c>
      <c r="E24" s="37" t="s">
        <v>382</v>
      </c>
      <c r="F24" s="126" t="s">
        <v>220</v>
      </c>
      <c r="G24" s="21">
        <v>39604.0</v>
      </c>
      <c r="H24" s="21"/>
      <c r="I24" s="21" t="s">
        <v>313</v>
      </c>
      <c r="J24" s="128"/>
      <c r="K24" s="128"/>
      <c r="L24" s="127"/>
      <c r="M24" s="21"/>
      <c r="N24" s="127"/>
      <c r="O24" s="127"/>
      <c r="P24" s="127"/>
      <c r="Q24" s="127"/>
      <c r="R24" s="127"/>
      <c r="S24" s="126"/>
      <c r="T24" s="128"/>
      <c r="U24" s="128"/>
      <c r="V24" s="21"/>
      <c r="W24" s="126"/>
    </row>
    <row r="25" ht="22.5" customHeight="1">
      <c r="A25" s="126" t="s">
        <v>377</v>
      </c>
      <c r="B25" s="50" t="s">
        <v>379</v>
      </c>
      <c r="C25" s="42" t="s">
        <v>226</v>
      </c>
      <c r="D25" s="50" t="s">
        <v>380</v>
      </c>
      <c r="E25" s="37" t="s">
        <v>382</v>
      </c>
      <c r="F25" s="126" t="s">
        <v>220</v>
      </c>
      <c r="G25" s="21">
        <v>34346.0</v>
      </c>
      <c r="H25" s="21"/>
      <c r="I25" s="21" t="s">
        <v>313</v>
      </c>
      <c r="J25" s="128"/>
      <c r="K25" s="128"/>
      <c r="L25" s="127"/>
      <c r="M25" s="21"/>
      <c r="N25" s="127"/>
      <c r="O25" s="127"/>
      <c r="P25" s="127"/>
      <c r="Q25" s="127"/>
      <c r="R25" s="127"/>
      <c r="S25" s="126"/>
      <c r="T25" s="128"/>
      <c r="U25" s="128"/>
      <c r="V25" s="21"/>
      <c r="W25" s="126"/>
    </row>
    <row r="26" ht="22.5" customHeight="1">
      <c r="A26" s="126" t="s">
        <v>377</v>
      </c>
      <c r="B26" s="50" t="s">
        <v>379</v>
      </c>
      <c r="C26" s="42" t="s">
        <v>226</v>
      </c>
      <c r="D26" s="50" t="s">
        <v>380</v>
      </c>
      <c r="E26" s="37" t="s">
        <v>382</v>
      </c>
      <c r="F26" s="126" t="s">
        <v>220</v>
      </c>
      <c r="G26" s="21">
        <v>39605.0</v>
      </c>
      <c r="H26" s="21"/>
      <c r="I26" s="21" t="s">
        <v>313</v>
      </c>
      <c r="J26" s="128"/>
      <c r="K26" s="128"/>
      <c r="L26" s="127"/>
      <c r="M26" s="21"/>
      <c r="N26" s="127"/>
      <c r="O26" s="127"/>
      <c r="P26" s="127"/>
      <c r="Q26" s="127"/>
      <c r="R26" s="127"/>
      <c r="S26" s="126"/>
      <c r="T26" s="128"/>
      <c r="U26" s="128"/>
      <c r="V26" s="21"/>
      <c r="W26" s="126"/>
    </row>
    <row r="27" ht="22.5" customHeight="1">
      <c r="A27" s="126" t="s">
        <v>377</v>
      </c>
      <c r="B27" s="50" t="s">
        <v>379</v>
      </c>
      <c r="C27" s="42" t="s">
        <v>226</v>
      </c>
      <c r="D27" s="50" t="s">
        <v>380</v>
      </c>
      <c r="E27" s="37" t="s">
        <v>382</v>
      </c>
      <c r="F27" s="126" t="s">
        <v>220</v>
      </c>
      <c r="G27" s="21">
        <v>34345.0</v>
      </c>
      <c r="H27" s="21"/>
      <c r="I27" s="21" t="s">
        <v>313</v>
      </c>
      <c r="J27" s="128"/>
      <c r="K27" s="128"/>
      <c r="L27" s="127"/>
      <c r="M27" s="21"/>
      <c r="N27" s="127"/>
      <c r="O27" s="127"/>
      <c r="P27" s="127"/>
      <c r="Q27" s="127"/>
      <c r="R27" s="127"/>
      <c r="S27" s="126"/>
      <c r="T27" s="128"/>
      <c r="U27" s="128"/>
      <c r="V27" s="21"/>
      <c r="W27" s="126"/>
    </row>
    <row r="28" ht="22.5" customHeight="1">
      <c r="A28" s="126" t="s">
        <v>377</v>
      </c>
      <c r="B28" s="50" t="s">
        <v>379</v>
      </c>
      <c r="C28" s="42" t="s">
        <v>226</v>
      </c>
      <c r="D28" s="50" t="s">
        <v>380</v>
      </c>
      <c r="E28" s="37" t="s">
        <v>382</v>
      </c>
      <c r="F28" s="126" t="s">
        <v>220</v>
      </c>
      <c r="G28" s="21">
        <v>14767.0</v>
      </c>
      <c r="H28" s="21"/>
      <c r="I28" s="21" t="s">
        <v>313</v>
      </c>
      <c r="J28" s="128"/>
      <c r="K28" s="128"/>
      <c r="L28" s="131"/>
      <c r="M28" s="21"/>
      <c r="N28" s="21"/>
      <c r="O28" s="127"/>
      <c r="P28" s="127"/>
      <c r="Q28" s="127"/>
      <c r="R28" s="127"/>
      <c r="S28" s="126"/>
      <c r="T28" s="128"/>
      <c r="U28" s="128"/>
      <c r="V28" s="21"/>
      <c r="W28" s="126"/>
    </row>
    <row r="29" ht="22.5" customHeight="1">
      <c r="A29" s="126" t="s">
        <v>377</v>
      </c>
      <c r="B29" s="50" t="s">
        <v>379</v>
      </c>
      <c r="C29" s="42" t="s">
        <v>226</v>
      </c>
      <c r="D29" s="50" t="s">
        <v>380</v>
      </c>
      <c r="E29" s="37" t="s">
        <v>382</v>
      </c>
      <c r="F29" s="126" t="s">
        <v>220</v>
      </c>
      <c r="G29" s="21">
        <v>14768.0</v>
      </c>
      <c r="H29" s="21"/>
      <c r="I29" s="21" t="s">
        <v>313</v>
      </c>
      <c r="J29" s="128"/>
      <c r="K29" s="128"/>
      <c r="L29" s="127"/>
      <c r="M29" s="21"/>
      <c r="N29" s="127"/>
      <c r="O29" s="127"/>
      <c r="P29" s="127"/>
      <c r="Q29" s="127"/>
      <c r="R29" s="127"/>
      <c r="S29" s="126"/>
      <c r="T29" s="128"/>
      <c r="U29" s="128"/>
      <c r="V29" s="21"/>
      <c r="W29" s="126"/>
    </row>
    <row r="30" ht="22.5" customHeight="1">
      <c r="A30" s="126" t="s">
        <v>377</v>
      </c>
      <c r="B30" s="50" t="s">
        <v>379</v>
      </c>
      <c r="C30" s="42" t="s">
        <v>226</v>
      </c>
      <c r="D30" s="50" t="s">
        <v>380</v>
      </c>
      <c r="E30" s="37" t="s">
        <v>382</v>
      </c>
      <c r="F30" s="126" t="s">
        <v>220</v>
      </c>
      <c r="G30" s="21" t="s">
        <v>320</v>
      </c>
      <c r="H30" s="21"/>
      <c r="I30" s="21" t="s">
        <v>319</v>
      </c>
      <c r="J30" s="128"/>
      <c r="K30" s="128"/>
      <c r="L30" s="128"/>
      <c r="M30" s="21"/>
      <c r="N30" s="21"/>
      <c r="O30" s="127"/>
      <c r="P30" s="127"/>
      <c r="Q30" s="127"/>
      <c r="R30" s="127"/>
      <c r="S30" s="126"/>
      <c r="T30" s="128"/>
      <c r="U30" s="128"/>
      <c r="V30" s="21"/>
      <c r="W30" s="126"/>
    </row>
    <row r="31" ht="22.5" customHeight="1">
      <c r="A31" s="126" t="s">
        <v>377</v>
      </c>
      <c r="B31" s="50" t="s">
        <v>379</v>
      </c>
      <c r="C31" s="42" t="s">
        <v>226</v>
      </c>
      <c r="D31" s="50" t="s">
        <v>380</v>
      </c>
      <c r="E31" s="37" t="s">
        <v>382</v>
      </c>
      <c r="F31" s="126" t="s">
        <v>220</v>
      </c>
      <c r="G31" s="21" t="s">
        <v>323</v>
      </c>
      <c r="H31" s="21"/>
      <c r="I31" s="21" t="s">
        <v>319</v>
      </c>
      <c r="J31" s="128"/>
      <c r="K31" s="128"/>
      <c r="L31" s="127"/>
      <c r="M31" s="21"/>
      <c r="N31" s="127"/>
      <c r="O31" s="127"/>
      <c r="P31" s="127"/>
      <c r="Q31" s="127"/>
      <c r="R31" s="127"/>
      <c r="S31" s="126"/>
      <c r="T31" s="128"/>
      <c r="U31" s="128"/>
      <c r="V31" s="21"/>
      <c r="W31" s="126"/>
    </row>
    <row r="32" ht="22.5" customHeight="1">
      <c r="A32" s="126" t="s">
        <v>377</v>
      </c>
      <c r="B32" s="50" t="s">
        <v>379</v>
      </c>
      <c r="C32" s="42" t="s">
        <v>226</v>
      </c>
      <c r="D32" s="50" t="s">
        <v>380</v>
      </c>
      <c r="E32" s="37" t="s">
        <v>382</v>
      </c>
      <c r="F32" s="126" t="s">
        <v>220</v>
      </c>
      <c r="G32" s="21" t="s">
        <v>606</v>
      </c>
      <c r="H32" s="21"/>
      <c r="I32" s="21" t="s">
        <v>319</v>
      </c>
      <c r="J32" s="128"/>
      <c r="K32" s="128"/>
      <c r="L32" s="127"/>
      <c r="M32" s="21"/>
      <c r="N32" s="127"/>
      <c r="O32" s="127"/>
      <c r="P32" s="127"/>
      <c r="Q32" s="127"/>
      <c r="R32" s="127"/>
      <c r="S32" s="126"/>
      <c r="T32" s="128"/>
      <c r="U32" s="128"/>
      <c r="V32" s="21"/>
      <c r="W32" s="126"/>
    </row>
    <row r="33" ht="22.5" customHeight="1">
      <c r="A33" s="126" t="s">
        <v>377</v>
      </c>
      <c r="B33" s="50" t="s">
        <v>379</v>
      </c>
      <c r="C33" s="42" t="s">
        <v>226</v>
      </c>
      <c r="D33" s="50" t="s">
        <v>380</v>
      </c>
      <c r="E33" s="37" t="s">
        <v>382</v>
      </c>
      <c r="F33" s="126" t="s">
        <v>220</v>
      </c>
      <c r="G33" s="21" t="s">
        <v>327</v>
      </c>
      <c r="H33" s="21"/>
      <c r="I33" s="21" t="s">
        <v>326</v>
      </c>
      <c r="J33" s="128"/>
      <c r="K33" s="128">
        <v>45796.0</v>
      </c>
      <c r="L33" s="127"/>
      <c r="M33" s="21"/>
      <c r="N33" s="127"/>
      <c r="O33" s="21" t="s">
        <v>613</v>
      </c>
      <c r="P33" s="21" t="s">
        <v>615</v>
      </c>
      <c r="Q33" s="127"/>
      <c r="R33" s="127"/>
      <c r="S33" s="126" t="s">
        <v>445</v>
      </c>
      <c r="T33" s="128"/>
      <c r="U33" s="128"/>
      <c r="V33" s="21"/>
      <c r="W33" s="126" t="s">
        <v>303</v>
      </c>
    </row>
    <row r="34" ht="22.5" customHeight="1">
      <c r="A34" s="126" t="s">
        <v>377</v>
      </c>
      <c r="B34" s="50" t="s">
        <v>379</v>
      </c>
      <c r="C34" s="42" t="s">
        <v>226</v>
      </c>
      <c r="D34" s="50" t="s">
        <v>380</v>
      </c>
      <c r="E34" s="37" t="s">
        <v>382</v>
      </c>
      <c r="F34" s="126" t="s">
        <v>220</v>
      </c>
      <c r="G34" s="21" t="s">
        <v>334</v>
      </c>
      <c r="H34" s="21"/>
      <c r="I34" s="21" t="s">
        <v>326</v>
      </c>
      <c r="J34" s="128"/>
      <c r="K34" s="131"/>
      <c r="L34" s="127"/>
      <c r="M34" s="21"/>
      <c r="N34" s="127"/>
      <c r="O34" s="127"/>
      <c r="P34" s="127"/>
      <c r="Q34" s="127"/>
      <c r="R34" s="127"/>
      <c r="S34" s="126"/>
      <c r="T34" s="128"/>
      <c r="U34" s="128"/>
      <c r="V34" s="21"/>
      <c r="W34" s="126"/>
    </row>
    <row r="35" ht="22.5" customHeight="1">
      <c r="A35" s="126" t="s">
        <v>377</v>
      </c>
      <c r="B35" s="50" t="s">
        <v>379</v>
      </c>
      <c r="C35" s="42" t="s">
        <v>226</v>
      </c>
      <c r="D35" s="50" t="s">
        <v>380</v>
      </c>
      <c r="E35" s="37" t="s">
        <v>382</v>
      </c>
      <c r="F35" s="126" t="s">
        <v>220</v>
      </c>
      <c r="G35" s="21" t="s">
        <v>339</v>
      </c>
      <c r="H35" s="21"/>
      <c r="I35" s="21" t="s">
        <v>326</v>
      </c>
      <c r="J35" s="131"/>
      <c r="K35" s="131"/>
      <c r="L35" s="128"/>
      <c r="M35" s="21"/>
      <c r="N35" s="21"/>
      <c r="O35" s="127"/>
      <c r="P35" s="127"/>
      <c r="Q35" s="127"/>
      <c r="R35" s="127"/>
      <c r="S35" s="126"/>
      <c r="T35" s="128"/>
      <c r="U35" s="128"/>
      <c r="V35" s="21"/>
      <c r="W35" s="126"/>
    </row>
    <row r="36" ht="22.5" customHeight="1">
      <c r="A36" s="126" t="s">
        <v>377</v>
      </c>
      <c r="B36" s="50" t="s">
        <v>379</v>
      </c>
      <c r="C36" s="42" t="s">
        <v>226</v>
      </c>
      <c r="D36" s="50" t="s">
        <v>380</v>
      </c>
      <c r="E36" s="37" t="s">
        <v>382</v>
      </c>
      <c r="F36" s="126" t="s">
        <v>220</v>
      </c>
      <c r="G36" s="21" t="s">
        <v>342</v>
      </c>
      <c r="H36" s="21"/>
      <c r="I36" s="21" t="s">
        <v>326</v>
      </c>
      <c r="J36" s="128"/>
      <c r="K36" s="128"/>
      <c r="L36" s="127"/>
      <c r="M36" s="21"/>
      <c r="N36" s="21"/>
      <c r="O36" s="127"/>
      <c r="P36" s="127"/>
      <c r="Q36" s="127"/>
      <c r="R36" s="127"/>
      <c r="S36" s="126"/>
      <c r="T36" s="128"/>
      <c r="U36" s="128"/>
      <c r="V36" s="21"/>
      <c r="W36" s="126"/>
    </row>
    <row r="37" ht="22.5" customHeight="1">
      <c r="A37" s="126" t="s">
        <v>377</v>
      </c>
      <c r="B37" s="50" t="s">
        <v>379</v>
      </c>
      <c r="C37" s="42" t="s">
        <v>226</v>
      </c>
      <c r="D37" s="50" t="s">
        <v>380</v>
      </c>
      <c r="E37" s="37" t="s">
        <v>382</v>
      </c>
      <c r="F37" s="126" t="s">
        <v>220</v>
      </c>
      <c r="G37" s="21">
        <v>34341.0</v>
      </c>
      <c r="H37" s="21"/>
      <c r="I37" s="21" t="s">
        <v>345</v>
      </c>
      <c r="J37" s="128"/>
      <c r="K37" s="128"/>
      <c r="L37" s="127"/>
      <c r="M37" s="21"/>
      <c r="N37" s="127"/>
      <c r="O37" s="127"/>
      <c r="P37" s="127"/>
      <c r="Q37" s="127"/>
      <c r="R37" s="127"/>
      <c r="S37" s="126"/>
      <c r="T37" s="128"/>
      <c r="U37" s="128"/>
      <c r="V37" s="21"/>
      <c r="W37" s="126"/>
    </row>
    <row r="38" ht="22.5" customHeight="1">
      <c r="A38" s="126" t="s">
        <v>377</v>
      </c>
      <c r="B38" s="50" t="s">
        <v>379</v>
      </c>
      <c r="C38" s="42" t="s">
        <v>226</v>
      </c>
      <c r="D38" s="50" t="s">
        <v>380</v>
      </c>
      <c r="E38" s="37" t="s">
        <v>382</v>
      </c>
      <c r="F38" s="126" t="s">
        <v>220</v>
      </c>
      <c r="G38" s="21" t="s">
        <v>347</v>
      </c>
      <c r="H38" s="21"/>
      <c r="I38" s="21" t="s">
        <v>345</v>
      </c>
      <c r="J38" s="131"/>
      <c r="K38" s="131"/>
      <c r="L38" s="127"/>
      <c r="M38" s="21"/>
      <c r="N38" s="127"/>
      <c r="O38" s="127"/>
      <c r="P38" s="127"/>
      <c r="Q38" s="127"/>
      <c r="R38" s="127"/>
      <c r="S38" s="126"/>
      <c r="T38" s="128"/>
      <c r="U38" s="128"/>
      <c r="V38" s="21"/>
      <c r="W38" s="126"/>
    </row>
    <row r="39" ht="22.5" customHeight="1">
      <c r="A39" s="126" t="s">
        <v>377</v>
      </c>
      <c r="B39" s="50" t="s">
        <v>379</v>
      </c>
      <c r="C39" s="42" t="s">
        <v>226</v>
      </c>
      <c r="D39" s="50" t="s">
        <v>380</v>
      </c>
      <c r="E39" s="37" t="s">
        <v>382</v>
      </c>
      <c r="F39" s="126" t="s">
        <v>220</v>
      </c>
      <c r="G39" s="21" t="s">
        <v>351</v>
      </c>
      <c r="H39" s="21"/>
      <c r="I39" s="21" t="s">
        <v>188</v>
      </c>
      <c r="J39" s="131"/>
      <c r="K39" s="131"/>
      <c r="L39" s="127"/>
      <c r="M39" s="21"/>
      <c r="N39" s="127"/>
      <c r="O39" s="127"/>
      <c r="P39" s="127"/>
      <c r="Q39" s="127"/>
      <c r="R39" s="127"/>
      <c r="S39" s="126"/>
      <c r="T39" s="128"/>
      <c r="U39" s="128"/>
      <c r="V39" s="21"/>
      <c r="W39" s="126"/>
    </row>
    <row r="40" ht="22.5" customHeight="1">
      <c r="A40" s="126" t="s">
        <v>377</v>
      </c>
      <c r="B40" s="50" t="s">
        <v>379</v>
      </c>
      <c r="C40" s="42" t="s">
        <v>226</v>
      </c>
      <c r="D40" s="50" t="s">
        <v>380</v>
      </c>
      <c r="E40" s="37" t="s">
        <v>382</v>
      </c>
      <c r="F40" s="126" t="s">
        <v>220</v>
      </c>
      <c r="G40" s="21" t="s">
        <v>355</v>
      </c>
      <c r="H40" s="21"/>
      <c r="I40" s="21" t="s">
        <v>188</v>
      </c>
      <c r="J40" s="131"/>
      <c r="K40" s="131"/>
      <c r="L40" s="128"/>
      <c r="M40" s="21"/>
      <c r="N40" s="21"/>
      <c r="O40" s="127"/>
      <c r="P40" s="127"/>
      <c r="Q40" s="127"/>
      <c r="R40" s="127"/>
      <c r="S40" s="126"/>
      <c r="T40" s="128"/>
      <c r="U40" s="128"/>
      <c r="V40" s="21"/>
      <c r="W40" s="126"/>
    </row>
    <row r="41" ht="22.5" customHeight="1">
      <c r="A41" s="126" t="s">
        <v>377</v>
      </c>
      <c r="B41" s="50" t="s">
        <v>379</v>
      </c>
      <c r="C41" s="42" t="s">
        <v>226</v>
      </c>
      <c r="D41" s="50" t="s">
        <v>380</v>
      </c>
      <c r="E41" s="37" t="s">
        <v>382</v>
      </c>
      <c r="F41" s="126" t="s">
        <v>220</v>
      </c>
      <c r="G41" s="21" t="s">
        <v>359</v>
      </c>
      <c r="H41" s="21"/>
      <c r="I41" s="21" t="s">
        <v>188</v>
      </c>
      <c r="J41" s="131"/>
      <c r="K41" s="131"/>
      <c r="L41" s="127"/>
      <c r="M41" s="21"/>
      <c r="N41" s="127"/>
      <c r="O41" s="127"/>
      <c r="P41" s="127"/>
      <c r="Q41" s="127"/>
      <c r="R41" s="127"/>
      <c r="S41" s="126"/>
      <c r="T41" s="128"/>
      <c r="U41" s="128"/>
      <c r="V41" s="21"/>
      <c r="W41" s="126"/>
    </row>
    <row r="42" ht="22.5" customHeight="1">
      <c r="A42" s="126" t="s">
        <v>377</v>
      </c>
      <c r="B42" s="50" t="s">
        <v>379</v>
      </c>
      <c r="C42" s="42" t="s">
        <v>226</v>
      </c>
      <c r="D42" s="50" t="s">
        <v>380</v>
      </c>
      <c r="E42" s="37" t="s">
        <v>382</v>
      </c>
      <c r="F42" s="126" t="s">
        <v>220</v>
      </c>
      <c r="G42" s="21" t="s">
        <v>362</v>
      </c>
      <c r="H42" s="21"/>
      <c r="I42" s="21" t="s">
        <v>188</v>
      </c>
      <c r="J42" s="131"/>
      <c r="K42" s="131"/>
      <c r="L42" s="127"/>
      <c r="M42" s="21"/>
      <c r="N42" s="127"/>
      <c r="O42" s="127"/>
      <c r="P42" s="127"/>
      <c r="Q42" s="127"/>
      <c r="R42" s="127"/>
      <c r="S42" s="126"/>
      <c r="T42" s="128"/>
      <c r="U42" s="128"/>
      <c r="V42" s="21"/>
      <c r="W42" s="126"/>
    </row>
    <row r="43" ht="22.5" customHeight="1">
      <c r="A43" s="126" t="s">
        <v>377</v>
      </c>
      <c r="B43" s="50" t="s">
        <v>379</v>
      </c>
      <c r="C43" s="42" t="s">
        <v>226</v>
      </c>
      <c r="D43" s="50" t="s">
        <v>380</v>
      </c>
      <c r="E43" s="37" t="s">
        <v>382</v>
      </c>
      <c r="F43" s="126" t="s">
        <v>220</v>
      </c>
      <c r="G43" s="21" t="s">
        <v>693</v>
      </c>
      <c r="H43" s="21"/>
      <c r="I43" s="21" t="s">
        <v>188</v>
      </c>
      <c r="J43" s="131"/>
      <c r="K43" s="128"/>
      <c r="L43" s="127"/>
      <c r="M43" s="21"/>
      <c r="N43" s="127"/>
      <c r="O43" s="127"/>
      <c r="P43" s="127"/>
      <c r="Q43" s="127"/>
      <c r="R43" s="127"/>
      <c r="S43" s="126"/>
      <c r="T43" s="128"/>
      <c r="U43" s="128"/>
      <c r="V43" s="21"/>
      <c r="W43" s="126"/>
    </row>
    <row r="44" ht="22.5" customHeight="1">
      <c r="A44" s="126" t="s">
        <v>377</v>
      </c>
      <c r="B44" s="50" t="s">
        <v>379</v>
      </c>
      <c r="C44" s="42" t="s">
        <v>226</v>
      </c>
      <c r="D44" s="50" t="s">
        <v>380</v>
      </c>
      <c r="E44" s="37" t="s">
        <v>382</v>
      </c>
      <c r="F44" s="126" t="s">
        <v>220</v>
      </c>
      <c r="G44" s="21" t="s">
        <v>367</v>
      </c>
      <c r="H44" s="21"/>
      <c r="I44" s="21" t="s">
        <v>365</v>
      </c>
      <c r="J44" s="131"/>
      <c r="K44" s="131"/>
      <c r="L44" s="131"/>
      <c r="M44" s="21"/>
      <c r="N44" s="21"/>
      <c r="O44" s="127"/>
      <c r="P44" s="127"/>
      <c r="Q44" s="127"/>
      <c r="R44" s="127"/>
      <c r="S44" s="126"/>
      <c r="T44" s="128"/>
      <c r="U44" s="128"/>
      <c r="V44" s="21"/>
      <c r="W44" s="126"/>
    </row>
    <row r="45" ht="22.5" customHeight="1">
      <c r="A45" s="126" t="s">
        <v>377</v>
      </c>
      <c r="B45" s="50" t="s">
        <v>379</v>
      </c>
      <c r="C45" s="42" t="s">
        <v>226</v>
      </c>
      <c r="D45" s="50" t="s">
        <v>380</v>
      </c>
      <c r="E45" s="37" t="s">
        <v>382</v>
      </c>
      <c r="F45" s="126" t="s">
        <v>220</v>
      </c>
      <c r="G45" s="21" t="s">
        <v>372</v>
      </c>
      <c r="H45" s="21"/>
      <c r="I45" s="21" t="s">
        <v>365</v>
      </c>
      <c r="J45" s="131"/>
      <c r="K45" s="128"/>
      <c r="L45" s="127"/>
      <c r="M45" s="21"/>
      <c r="N45" s="127"/>
      <c r="O45" s="127"/>
      <c r="P45" s="127"/>
      <c r="Q45" s="127"/>
      <c r="R45" s="127"/>
      <c r="S45" s="126"/>
      <c r="T45" s="128"/>
      <c r="U45" s="128"/>
      <c r="V45" s="21"/>
      <c r="W45" s="126"/>
    </row>
    <row r="46" ht="22.5" customHeight="1">
      <c r="A46" s="126" t="s">
        <v>377</v>
      </c>
      <c r="B46" s="50" t="s">
        <v>379</v>
      </c>
      <c r="C46" s="42" t="s">
        <v>226</v>
      </c>
      <c r="D46" s="50" t="s">
        <v>380</v>
      </c>
      <c r="E46" s="37" t="s">
        <v>382</v>
      </c>
      <c r="F46" s="126" t="s">
        <v>220</v>
      </c>
      <c r="G46" s="21" t="s">
        <v>378</v>
      </c>
      <c r="H46" s="21"/>
      <c r="I46" s="21" t="s">
        <v>365</v>
      </c>
      <c r="J46" s="131"/>
      <c r="K46" s="128"/>
      <c r="L46" s="127"/>
      <c r="M46" s="21"/>
      <c r="N46" s="127"/>
      <c r="O46" s="127"/>
      <c r="P46" s="127"/>
      <c r="Q46" s="127"/>
      <c r="R46" s="127"/>
      <c r="S46" s="126"/>
      <c r="T46" s="128"/>
      <c r="U46" s="128"/>
      <c r="V46" s="21"/>
      <c r="W46" s="126"/>
    </row>
    <row r="47" ht="22.5" customHeight="1">
      <c r="A47" s="126" t="s">
        <v>377</v>
      </c>
      <c r="B47" s="50" t="s">
        <v>379</v>
      </c>
      <c r="C47" s="42" t="s">
        <v>226</v>
      </c>
      <c r="D47" s="50" t="s">
        <v>380</v>
      </c>
      <c r="E47" s="37" t="s">
        <v>382</v>
      </c>
      <c r="F47" s="126" t="s">
        <v>220</v>
      </c>
      <c r="G47" s="21">
        <v>14773.0</v>
      </c>
      <c r="H47" s="21"/>
      <c r="I47" s="21" t="s">
        <v>365</v>
      </c>
      <c r="J47" s="128"/>
      <c r="K47" s="128"/>
      <c r="L47" s="128"/>
      <c r="M47" s="21"/>
      <c r="N47" s="21"/>
      <c r="O47" s="127"/>
      <c r="P47" s="127"/>
      <c r="Q47" s="127"/>
      <c r="R47" s="127"/>
      <c r="S47" s="126"/>
      <c r="T47" s="128"/>
      <c r="U47" s="128"/>
      <c r="V47" s="21"/>
      <c r="W47" s="126"/>
    </row>
    <row r="48" ht="22.5" customHeight="1">
      <c r="A48" s="126" t="s">
        <v>377</v>
      </c>
      <c r="B48" s="50" t="s">
        <v>379</v>
      </c>
      <c r="C48" s="42" t="s">
        <v>226</v>
      </c>
      <c r="D48" s="50" t="s">
        <v>380</v>
      </c>
      <c r="E48" s="37" t="s">
        <v>382</v>
      </c>
      <c r="F48" s="126" t="s">
        <v>220</v>
      </c>
      <c r="G48" s="21" t="s">
        <v>388</v>
      </c>
      <c r="H48" s="21"/>
      <c r="I48" s="21" t="s">
        <v>385</v>
      </c>
      <c r="J48" s="128"/>
      <c r="K48" s="128"/>
      <c r="L48" s="127"/>
      <c r="M48" s="21"/>
      <c r="N48" s="127"/>
      <c r="O48" s="127"/>
      <c r="P48" s="127"/>
      <c r="Q48" s="127"/>
      <c r="R48" s="127"/>
      <c r="S48" s="126"/>
      <c r="T48" s="128"/>
      <c r="U48" s="128"/>
      <c r="V48" s="21"/>
      <c r="W48" s="126"/>
    </row>
    <row r="49" ht="22.5" customHeight="1">
      <c r="A49" s="126" t="s">
        <v>377</v>
      </c>
      <c r="B49" s="50" t="s">
        <v>379</v>
      </c>
      <c r="C49" s="42" t="s">
        <v>226</v>
      </c>
      <c r="D49" s="50" t="s">
        <v>380</v>
      </c>
      <c r="E49" s="37" t="s">
        <v>382</v>
      </c>
      <c r="F49" s="126" t="s">
        <v>220</v>
      </c>
      <c r="G49" s="148" t="s">
        <v>393</v>
      </c>
      <c r="H49" s="21"/>
      <c r="I49" s="21" t="s">
        <v>392</v>
      </c>
      <c r="J49" s="128"/>
      <c r="K49" s="128"/>
      <c r="L49" s="128"/>
      <c r="M49" s="21"/>
      <c r="N49" s="21"/>
      <c r="O49" s="127"/>
      <c r="P49" s="127"/>
      <c r="Q49" s="127"/>
      <c r="R49" s="127"/>
      <c r="S49" s="126"/>
      <c r="T49" s="128"/>
      <c r="U49" s="128"/>
      <c r="V49" s="21"/>
      <c r="W49" s="126"/>
    </row>
    <row r="50" ht="22.5" customHeight="1">
      <c r="A50" s="126" t="s">
        <v>377</v>
      </c>
      <c r="B50" s="50" t="s">
        <v>379</v>
      </c>
      <c r="C50" s="42" t="s">
        <v>226</v>
      </c>
      <c r="D50" s="50" t="s">
        <v>380</v>
      </c>
      <c r="E50" s="37" t="s">
        <v>382</v>
      </c>
      <c r="F50" s="126" t="s">
        <v>220</v>
      </c>
      <c r="G50" s="148" t="s">
        <v>394</v>
      </c>
      <c r="H50" s="21"/>
      <c r="I50" s="21" t="s">
        <v>392</v>
      </c>
      <c r="J50" s="128"/>
      <c r="K50" s="128"/>
      <c r="L50" s="127"/>
      <c r="M50" s="21"/>
      <c r="N50" s="127"/>
      <c r="O50" s="127"/>
      <c r="P50" s="127"/>
      <c r="Q50" s="127"/>
      <c r="R50" s="127"/>
      <c r="S50" s="126"/>
      <c r="T50" s="128"/>
      <c r="U50" s="128"/>
      <c r="V50" s="21"/>
      <c r="W50" s="126"/>
    </row>
    <row r="51" ht="22.5" customHeight="1">
      <c r="A51" s="126" t="s">
        <v>377</v>
      </c>
      <c r="B51" s="50" t="s">
        <v>379</v>
      </c>
      <c r="C51" s="42" t="s">
        <v>226</v>
      </c>
      <c r="D51" s="50" t="s">
        <v>380</v>
      </c>
      <c r="E51" s="37" t="s">
        <v>382</v>
      </c>
      <c r="F51" s="126" t="s">
        <v>220</v>
      </c>
      <c r="G51" s="148" t="s">
        <v>397</v>
      </c>
      <c r="H51" s="21"/>
      <c r="I51" s="21" t="s">
        <v>392</v>
      </c>
      <c r="J51" s="128"/>
      <c r="K51" s="128"/>
      <c r="L51" s="127"/>
      <c r="M51" s="21"/>
      <c r="N51" s="127"/>
      <c r="O51" s="127"/>
      <c r="P51" s="127"/>
      <c r="Q51" s="127"/>
      <c r="R51" s="127"/>
      <c r="S51" s="126"/>
      <c r="T51" s="128"/>
      <c r="U51" s="128"/>
      <c r="V51" s="21"/>
      <c r="W51" s="126"/>
    </row>
    <row r="52" ht="22.5" customHeight="1">
      <c r="A52" s="126" t="s">
        <v>377</v>
      </c>
      <c r="B52" s="50" t="s">
        <v>379</v>
      </c>
      <c r="C52" s="42" t="s">
        <v>226</v>
      </c>
      <c r="D52" s="50" t="s">
        <v>380</v>
      </c>
      <c r="E52" s="37" t="s">
        <v>382</v>
      </c>
      <c r="F52" s="126" t="s">
        <v>220</v>
      </c>
      <c r="G52" s="148" t="s">
        <v>403</v>
      </c>
      <c r="H52" s="21"/>
      <c r="I52" s="21" t="s">
        <v>392</v>
      </c>
      <c r="J52" s="128"/>
      <c r="K52" s="128"/>
      <c r="L52" s="127"/>
      <c r="M52" s="21"/>
      <c r="N52" s="21"/>
      <c r="O52" s="127"/>
      <c r="P52" s="127"/>
      <c r="Q52" s="127"/>
      <c r="R52" s="127"/>
      <c r="S52" s="126"/>
      <c r="T52" s="128"/>
      <c r="U52" s="128"/>
      <c r="V52" s="21"/>
      <c r="W52" s="126"/>
    </row>
    <row r="53" ht="22.5" customHeight="1">
      <c r="A53" s="126" t="s">
        <v>377</v>
      </c>
      <c r="B53" s="50" t="s">
        <v>379</v>
      </c>
      <c r="C53" s="42" t="s">
        <v>226</v>
      </c>
      <c r="D53" s="50" t="s">
        <v>380</v>
      </c>
      <c r="E53" s="37" t="s">
        <v>382</v>
      </c>
      <c r="F53" s="126" t="s">
        <v>220</v>
      </c>
      <c r="G53" s="148">
        <v>19927.0</v>
      </c>
      <c r="H53" s="21"/>
      <c r="I53" s="21" t="s">
        <v>392</v>
      </c>
      <c r="J53" s="128"/>
      <c r="K53" s="128"/>
      <c r="L53" s="128"/>
      <c r="M53" s="21"/>
      <c r="N53" s="21"/>
      <c r="O53" s="127"/>
      <c r="P53" s="127"/>
      <c r="Q53" s="127"/>
      <c r="R53" s="127"/>
      <c r="S53" s="126"/>
      <c r="T53" s="128"/>
      <c r="U53" s="128"/>
      <c r="V53" s="21"/>
      <c r="W53" s="126"/>
    </row>
    <row r="54" ht="22.5" customHeight="1">
      <c r="A54" s="126" t="s">
        <v>377</v>
      </c>
      <c r="B54" s="50" t="s">
        <v>379</v>
      </c>
      <c r="C54" s="42" t="s">
        <v>226</v>
      </c>
      <c r="D54" s="50" t="s">
        <v>380</v>
      </c>
      <c r="E54" s="37" t="s">
        <v>382</v>
      </c>
      <c r="F54" s="126" t="s">
        <v>220</v>
      </c>
      <c r="G54" s="21">
        <v>35794.0</v>
      </c>
      <c r="H54" s="21"/>
      <c r="I54" s="21" t="s">
        <v>177</v>
      </c>
      <c r="J54" s="128"/>
      <c r="K54" s="128"/>
      <c r="L54" s="127"/>
      <c r="M54" s="21"/>
      <c r="N54" s="127"/>
      <c r="O54" s="127"/>
      <c r="P54" s="127"/>
      <c r="Q54" s="127"/>
      <c r="R54" s="127"/>
      <c r="S54" s="126"/>
      <c r="T54" s="128"/>
      <c r="U54" s="128"/>
      <c r="V54" s="21"/>
      <c r="W54" s="126"/>
    </row>
    <row r="55" ht="22.5" customHeight="1">
      <c r="A55" s="126" t="s">
        <v>377</v>
      </c>
      <c r="B55" s="50" t="s">
        <v>379</v>
      </c>
      <c r="C55" s="42" t="s">
        <v>226</v>
      </c>
      <c r="D55" s="50" t="s">
        <v>380</v>
      </c>
      <c r="E55" s="37" t="s">
        <v>382</v>
      </c>
      <c r="F55" s="126" t="s">
        <v>220</v>
      </c>
      <c r="G55" s="21" t="s">
        <v>407</v>
      </c>
      <c r="H55" s="21"/>
      <c r="I55" s="21" t="s">
        <v>177</v>
      </c>
      <c r="J55" s="128"/>
      <c r="K55" s="128"/>
      <c r="L55" s="127"/>
      <c r="M55" s="21"/>
      <c r="N55" s="127"/>
      <c r="O55" s="127"/>
      <c r="P55" s="127"/>
      <c r="Q55" s="127"/>
      <c r="R55" s="127"/>
      <c r="S55" s="126"/>
      <c r="T55" s="128"/>
      <c r="U55" s="128"/>
      <c r="V55" s="21"/>
      <c r="W55" s="126"/>
    </row>
    <row r="56" ht="22.5" customHeight="1">
      <c r="A56" s="126" t="s">
        <v>377</v>
      </c>
      <c r="B56" s="50" t="s">
        <v>379</v>
      </c>
      <c r="C56" s="42" t="s">
        <v>226</v>
      </c>
      <c r="D56" s="50" t="s">
        <v>380</v>
      </c>
      <c r="E56" s="37" t="s">
        <v>382</v>
      </c>
      <c r="F56" s="126" t="s">
        <v>220</v>
      </c>
      <c r="G56" s="21" t="s">
        <v>776</v>
      </c>
      <c r="H56" s="21"/>
      <c r="I56" s="21" t="s">
        <v>177</v>
      </c>
      <c r="J56" s="128"/>
      <c r="K56" s="128"/>
      <c r="L56" s="128"/>
      <c r="M56" s="21"/>
      <c r="N56" s="21"/>
      <c r="O56" s="127"/>
      <c r="P56" s="127"/>
      <c r="Q56" s="127"/>
      <c r="R56" s="127"/>
      <c r="S56" s="126"/>
      <c r="T56" s="128"/>
      <c r="U56" s="128"/>
      <c r="V56" s="21"/>
      <c r="W56" s="126"/>
    </row>
    <row r="57" ht="22.5" customHeight="1">
      <c r="A57" s="126" t="s">
        <v>377</v>
      </c>
      <c r="B57" s="50" t="s">
        <v>379</v>
      </c>
      <c r="C57" s="42" t="s">
        <v>226</v>
      </c>
      <c r="D57" s="50" t="s">
        <v>380</v>
      </c>
      <c r="E57" s="37" t="s">
        <v>382</v>
      </c>
      <c r="F57" s="126" t="s">
        <v>220</v>
      </c>
      <c r="G57" s="21" t="s">
        <v>780</v>
      </c>
      <c r="H57" s="21"/>
      <c r="I57" s="21" t="s">
        <v>177</v>
      </c>
      <c r="J57" s="128"/>
      <c r="K57" s="128"/>
      <c r="L57" s="131"/>
      <c r="M57" s="21"/>
      <c r="N57" s="21"/>
      <c r="O57" s="127"/>
      <c r="P57" s="127"/>
      <c r="Q57" s="127"/>
      <c r="R57" s="127"/>
      <c r="S57" s="126"/>
      <c r="T57" s="128"/>
      <c r="U57" s="128"/>
      <c r="V57" s="21"/>
      <c r="W57" s="126"/>
    </row>
    <row r="58" ht="22.5" customHeight="1">
      <c r="A58" s="126" t="s">
        <v>377</v>
      </c>
      <c r="B58" s="50" t="s">
        <v>379</v>
      </c>
      <c r="C58" s="42" t="s">
        <v>226</v>
      </c>
      <c r="D58" s="50" t="s">
        <v>380</v>
      </c>
      <c r="E58" s="37" t="s">
        <v>382</v>
      </c>
      <c r="F58" s="126" t="s">
        <v>294</v>
      </c>
      <c r="G58" s="148" t="s">
        <v>415</v>
      </c>
      <c r="H58" s="21"/>
      <c r="I58" s="21" t="s">
        <v>177</v>
      </c>
      <c r="J58" s="128"/>
      <c r="K58" s="128"/>
      <c r="L58" s="128"/>
      <c r="M58" s="21"/>
      <c r="N58" s="21"/>
      <c r="O58" s="127"/>
      <c r="P58" s="127"/>
      <c r="Q58" s="127"/>
      <c r="R58" s="127"/>
      <c r="S58" s="126"/>
      <c r="T58" s="128"/>
      <c r="U58" s="128"/>
      <c r="V58" s="21"/>
      <c r="W58" s="126"/>
    </row>
    <row r="59" ht="22.5" customHeight="1">
      <c r="A59" s="126" t="s">
        <v>377</v>
      </c>
      <c r="B59" s="50" t="s">
        <v>379</v>
      </c>
      <c r="C59" s="42" t="s">
        <v>226</v>
      </c>
      <c r="D59" s="50" t="s">
        <v>380</v>
      </c>
      <c r="E59" s="37" t="s">
        <v>382</v>
      </c>
      <c r="F59" s="126" t="s">
        <v>220</v>
      </c>
      <c r="G59" s="21" t="s">
        <v>416</v>
      </c>
      <c r="H59" s="21"/>
      <c r="I59" s="21" t="s">
        <v>90</v>
      </c>
      <c r="J59" s="128"/>
      <c r="K59" s="128"/>
      <c r="L59" s="127"/>
      <c r="M59" s="21"/>
      <c r="N59" s="127"/>
      <c r="O59" s="127"/>
      <c r="P59" s="127"/>
      <c r="Q59" s="127"/>
      <c r="R59" s="127"/>
      <c r="S59" s="126"/>
      <c r="T59" s="128"/>
      <c r="U59" s="128"/>
      <c r="V59" s="21"/>
      <c r="W59" s="126"/>
    </row>
    <row r="60" ht="22.5" customHeight="1">
      <c r="A60" s="126" t="s">
        <v>377</v>
      </c>
      <c r="B60" s="50" t="s">
        <v>379</v>
      </c>
      <c r="C60" s="42" t="s">
        <v>226</v>
      </c>
      <c r="D60" s="50" t="s">
        <v>380</v>
      </c>
      <c r="E60" s="37" t="s">
        <v>382</v>
      </c>
      <c r="F60" s="126" t="s">
        <v>220</v>
      </c>
      <c r="G60" s="21" t="s">
        <v>418</v>
      </c>
      <c r="H60" s="21"/>
      <c r="I60" s="21" t="s">
        <v>90</v>
      </c>
      <c r="J60" s="128"/>
      <c r="K60" s="131"/>
      <c r="L60" s="127"/>
      <c r="M60" s="21"/>
      <c r="N60" s="127"/>
      <c r="O60" s="127"/>
      <c r="P60" s="127"/>
      <c r="Q60" s="127"/>
      <c r="R60" s="127"/>
      <c r="S60" s="126"/>
      <c r="T60" s="128"/>
      <c r="U60" s="128"/>
      <c r="V60" s="21"/>
      <c r="W60" s="126"/>
    </row>
    <row r="61" ht="22.5" customHeight="1">
      <c r="A61" s="126" t="s">
        <v>377</v>
      </c>
      <c r="B61" s="50" t="s">
        <v>379</v>
      </c>
      <c r="C61" s="42" t="s">
        <v>226</v>
      </c>
      <c r="D61" s="50" t="s">
        <v>380</v>
      </c>
      <c r="E61" s="37" t="s">
        <v>382</v>
      </c>
      <c r="F61" s="126" t="s">
        <v>220</v>
      </c>
      <c r="G61" s="21" t="s">
        <v>424</v>
      </c>
      <c r="H61" s="21"/>
      <c r="I61" s="21" t="s">
        <v>90</v>
      </c>
      <c r="J61" s="128"/>
      <c r="K61" s="128"/>
      <c r="L61" s="127"/>
      <c r="M61" s="21"/>
      <c r="N61" s="127"/>
      <c r="O61" s="127"/>
      <c r="P61" s="127"/>
      <c r="Q61" s="127"/>
      <c r="R61" s="127"/>
      <c r="S61" s="126"/>
      <c r="T61" s="128"/>
      <c r="U61" s="128"/>
      <c r="V61" s="21"/>
      <c r="W61" s="126"/>
    </row>
    <row r="62" ht="22.5" customHeight="1">
      <c r="A62" s="126" t="s">
        <v>377</v>
      </c>
      <c r="B62" s="50" t="s">
        <v>379</v>
      </c>
      <c r="C62" s="42" t="s">
        <v>226</v>
      </c>
      <c r="D62" s="50" t="s">
        <v>380</v>
      </c>
      <c r="E62" s="37" t="s">
        <v>382</v>
      </c>
      <c r="F62" s="126" t="s">
        <v>220</v>
      </c>
      <c r="G62" s="21" t="s">
        <v>751</v>
      </c>
      <c r="H62" s="21"/>
      <c r="I62" s="21" t="s">
        <v>750</v>
      </c>
      <c r="J62" s="128"/>
      <c r="K62" s="128"/>
      <c r="L62" s="131"/>
      <c r="M62" s="21"/>
      <c r="N62" s="21"/>
      <c r="O62" s="127"/>
      <c r="P62" s="127"/>
      <c r="Q62" s="127"/>
      <c r="R62" s="127"/>
      <c r="S62" s="126"/>
      <c r="T62" s="128"/>
      <c r="U62" s="128"/>
      <c r="V62" s="21"/>
      <c r="W62" s="126"/>
    </row>
    <row r="63" ht="22.5" customHeight="1">
      <c r="A63" s="126" t="s">
        <v>377</v>
      </c>
      <c r="B63" s="50" t="s">
        <v>379</v>
      </c>
      <c r="C63" s="42" t="s">
        <v>226</v>
      </c>
      <c r="D63" s="50" t="s">
        <v>380</v>
      </c>
      <c r="E63" s="37" t="s">
        <v>382</v>
      </c>
      <c r="F63" s="126" t="s">
        <v>220</v>
      </c>
      <c r="G63" s="21" t="s">
        <v>742</v>
      </c>
      <c r="H63" s="21"/>
      <c r="I63" s="21" t="s">
        <v>428</v>
      </c>
      <c r="J63" s="128"/>
      <c r="K63" s="128"/>
      <c r="L63" s="127"/>
      <c r="M63" s="21"/>
      <c r="N63" s="127"/>
      <c r="O63" s="127"/>
      <c r="P63" s="127"/>
      <c r="Q63" s="127"/>
      <c r="R63" s="127"/>
      <c r="S63" s="126"/>
      <c r="T63" s="128"/>
      <c r="U63" s="128"/>
      <c r="V63" s="21"/>
      <c r="W63" s="126"/>
    </row>
    <row r="64" ht="22.5" customHeight="1">
      <c r="A64" s="126" t="s">
        <v>377</v>
      </c>
      <c r="B64" s="50" t="s">
        <v>379</v>
      </c>
      <c r="C64" s="42" t="s">
        <v>226</v>
      </c>
      <c r="D64" s="50" t="s">
        <v>380</v>
      </c>
      <c r="E64" s="37" t="s">
        <v>382</v>
      </c>
      <c r="F64" s="126" t="s">
        <v>220</v>
      </c>
      <c r="G64" s="21" t="s">
        <v>813</v>
      </c>
      <c r="H64" s="21"/>
      <c r="I64" s="21" t="s">
        <v>428</v>
      </c>
      <c r="J64" s="128"/>
      <c r="K64" s="128"/>
      <c r="L64" s="127"/>
      <c r="M64" s="21"/>
      <c r="N64" s="127"/>
      <c r="O64" s="127"/>
      <c r="P64" s="127"/>
      <c r="Q64" s="127"/>
      <c r="R64" s="127"/>
      <c r="S64" s="126"/>
      <c r="T64" s="128"/>
      <c r="U64" s="128"/>
      <c r="V64" s="21"/>
      <c r="W64" s="126"/>
    </row>
    <row r="65" ht="22.5" customHeight="1">
      <c r="A65" s="126" t="s">
        <v>377</v>
      </c>
      <c r="B65" s="50" t="s">
        <v>379</v>
      </c>
      <c r="C65" s="42" t="s">
        <v>226</v>
      </c>
      <c r="D65" s="50" t="s">
        <v>380</v>
      </c>
      <c r="E65" s="37" t="s">
        <v>382</v>
      </c>
      <c r="F65" s="126" t="s">
        <v>220</v>
      </c>
      <c r="G65" s="21" t="s">
        <v>415</v>
      </c>
      <c r="H65" s="21"/>
      <c r="I65" s="21" t="s">
        <v>428</v>
      </c>
      <c r="J65" s="131"/>
      <c r="K65" s="131"/>
      <c r="L65" s="127"/>
      <c r="M65" s="21"/>
      <c r="N65" s="127"/>
      <c r="O65" s="127"/>
      <c r="P65" s="127"/>
      <c r="Q65" s="127"/>
      <c r="R65" s="127"/>
      <c r="S65" s="126"/>
      <c r="T65" s="128"/>
      <c r="U65" s="128"/>
      <c r="V65" s="21"/>
      <c r="W65" s="126"/>
    </row>
    <row r="66" ht="22.5" customHeight="1">
      <c r="A66" s="126" t="s">
        <v>377</v>
      </c>
      <c r="B66" s="50" t="s">
        <v>379</v>
      </c>
      <c r="C66" s="42" t="s">
        <v>226</v>
      </c>
      <c r="D66" s="50" t="s">
        <v>380</v>
      </c>
      <c r="E66" s="37" t="s">
        <v>382</v>
      </c>
      <c r="F66" s="126" t="s">
        <v>220</v>
      </c>
      <c r="G66" s="21" t="s">
        <v>824</v>
      </c>
      <c r="H66" s="21"/>
      <c r="I66" s="21" t="s">
        <v>787</v>
      </c>
      <c r="J66" s="131"/>
      <c r="K66" s="131"/>
      <c r="L66" s="127"/>
      <c r="M66" s="21"/>
      <c r="N66" s="127"/>
      <c r="O66" s="127"/>
      <c r="P66" s="127"/>
      <c r="Q66" s="127"/>
      <c r="R66" s="127"/>
      <c r="S66" s="126"/>
      <c r="T66" s="128"/>
      <c r="U66" s="128"/>
      <c r="V66" s="21"/>
      <c r="W66" s="126"/>
    </row>
    <row r="67" ht="22.5" customHeight="1">
      <c r="A67" s="126" t="s">
        <v>377</v>
      </c>
      <c r="B67" s="50" t="s">
        <v>379</v>
      </c>
      <c r="C67" s="42" t="s">
        <v>226</v>
      </c>
      <c r="D67" s="50" t="s">
        <v>380</v>
      </c>
      <c r="E67" s="37" t="s">
        <v>382</v>
      </c>
      <c r="F67" s="126" t="s">
        <v>220</v>
      </c>
      <c r="G67" s="21" t="s">
        <v>789</v>
      </c>
      <c r="H67" s="21"/>
      <c r="I67" s="21" t="s">
        <v>787</v>
      </c>
      <c r="J67" s="131"/>
      <c r="K67" s="131"/>
      <c r="L67" s="127"/>
      <c r="M67" s="21"/>
      <c r="N67" s="127"/>
      <c r="O67" s="127"/>
      <c r="P67" s="127"/>
      <c r="Q67" s="127"/>
      <c r="R67" s="127"/>
      <c r="S67" s="126"/>
      <c r="T67" s="128"/>
      <c r="U67" s="128"/>
      <c r="V67" s="21"/>
      <c r="W67" s="126"/>
    </row>
    <row r="68" ht="22.5" customHeight="1">
      <c r="A68" s="126" t="s">
        <v>377</v>
      </c>
      <c r="B68" s="50" t="s">
        <v>379</v>
      </c>
      <c r="C68" s="42" t="s">
        <v>226</v>
      </c>
      <c r="D68" s="50" t="s">
        <v>380</v>
      </c>
      <c r="E68" s="37" t="s">
        <v>382</v>
      </c>
      <c r="F68" s="126" t="s">
        <v>220</v>
      </c>
      <c r="G68" s="21" t="s">
        <v>431</v>
      </c>
      <c r="H68" s="21"/>
      <c r="I68" s="21" t="s">
        <v>430</v>
      </c>
      <c r="J68" s="131"/>
      <c r="K68" s="128"/>
      <c r="L68" s="127"/>
      <c r="M68" s="21"/>
      <c r="N68" s="127"/>
      <c r="O68" s="127"/>
      <c r="P68" s="127"/>
      <c r="Q68" s="127"/>
      <c r="R68" s="127"/>
      <c r="S68" s="126"/>
      <c r="T68" s="128"/>
      <c r="U68" s="128"/>
      <c r="V68" s="21"/>
      <c r="W68" s="126"/>
    </row>
    <row r="69" ht="22.5" customHeight="1">
      <c r="A69" s="126" t="s">
        <v>377</v>
      </c>
      <c r="B69" s="50" t="s">
        <v>379</v>
      </c>
      <c r="C69" s="42" t="s">
        <v>226</v>
      </c>
      <c r="D69" s="50" t="s">
        <v>380</v>
      </c>
      <c r="E69" s="37" t="s">
        <v>382</v>
      </c>
      <c r="F69" s="126" t="s">
        <v>220</v>
      </c>
      <c r="G69" s="21" t="s">
        <v>434</v>
      </c>
      <c r="H69" s="21"/>
      <c r="I69" s="21" t="s">
        <v>209</v>
      </c>
      <c r="J69" s="131"/>
      <c r="K69" s="128"/>
      <c r="L69" s="127"/>
      <c r="M69" s="21"/>
      <c r="N69" s="127"/>
      <c r="O69" s="127"/>
      <c r="P69" s="127"/>
      <c r="Q69" s="127"/>
      <c r="R69" s="127"/>
      <c r="S69" s="126"/>
      <c r="T69" s="128"/>
      <c r="U69" s="128"/>
      <c r="V69" s="21"/>
      <c r="W69" s="126"/>
    </row>
    <row r="70" ht="22.5" customHeight="1">
      <c r="A70" s="126" t="s">
        <v>377</v>
      </c>
      <c r="B70" s="50" t="s">
        <v>379</v>
      </c>
      <c r="C70" s="42" t="s">
        <v>226</v>
      </c>
      <c r="D70" s="50" t="s">
        <v>380</v>
      </c>
      <c r="E70" s="37" t="s">
        <v>382</v>
      </c>
      <c r="F70" s="126" t="s">
        <v>220</v>
      </c>
      <c r="G70" s="21" t="s">
        <v>440</v>
      </c>
      <c r="H70" s="21"/>
      <c r="I70" s="21" t="s">
        <v>209</v>
      </c>
      <c r="J70" s="127"/>
      <c r="K70" s="128">
        <v>46000.0</v>
      </c>
      <c r="L70" s="127"/>
      <c r="M70" s="21"/>
      <c r="N70" s="127"/>
      <c r="O70" s="21"/>
      <c r="P70" s="127"/>
      <c r="Q70" s="127"/>
      <c r="R70" s="127"/>
      <c r="S70" s="126"/>
      <c r="T70" s="128"/>
      <c r="U70" s="128"/>
      <c r="V70" s="21"/>
      <c r="W70" s="126"/>
    </row>
    <row r="71" ht="22.5" customHeight="1">
      <c r="A71" s="126" t="s">
        <v>377</v>
      </c>
      <c r="B71" s="50" t="s">
        <v>379</v>
      </c>
      <c r="C71" s="42" t="s">
        <v>226</v>
      </c>
      <c r="D71" s="50" t="s">
        <v>380</v>
      </c>
      <c r="E71" s="37" t="s">
        <v>382</v>
      </c>
      <c r="F71" s="126" t="s">
        <v>220</v>
      </c>
      <c r="G71" s="21">
        <v>18907.0</v>
      </c>
      <c r="H71" s="21"/>
      <c r="I71" s="21" t="s">
        <v>131</v>
      </c>
      <c r="J71" s="127"/>
      <c r="K71" s="128"/>
      <c r="L71" s="127"/>
      <c r="M71" s="21"/>
      <c r="N71" s="127"/>
      <c r="O71" s="127"/>
      <c r="P71" s="127"/>
      <c r="Q71" s="127"/>
      <c r="R71" s="127"/>
      <c r="S71" s="126"/>
      <c r="T71" s="131"/>
      <c r="U71" s="131"/>
      <c r="V71" s="21"/>
      <c r="W71" s="126"/>
    </row>
    <row r="72" ht="22.5" customHeight="1">
      <c r="A72" s="126" t="s">
        <v>377</v>
      </c>
      <c r="B72" s="50" t="s">
        <v>379</v>
      </c>
      <c r="C72" s="42" t="s">
        <v>226</v>
      </c>
      <c r="D72" s="50" t="s">
        <v>380</v>
      </c>
      <c r="E72" s="37" t="s">
        <v>382</v>
      </c>
      <c r="F72" s="126" t="s">
        <v>220</v>
      </c>
      <c r="G72" s="21">
        <v>34325.0</v>
      </c>
      <c r="H72" s="21"/>
      <c r="I72" s="21" t="s">
        <v>131</v>
      </c>
      <c r="J72" s="127"/>
      <c r="K72" s="128"/>
      <c r="L72" s="127"/>
      <c r="M72" s="21"/>
      <c r="N72" s="127"/>
      <c r="O72" s="127"/>
      <c r="P72" s="127"/>
      <c r="Q72" s="127"/>
      <c r="R72" s="127"/>
      <c r="S72" s="126"/>
      <c r="T72" s="131"/>
      <c r="U72" s="131"/>
      <c r="V72" s="21"/>
      <c r="W72" s="126"/>
    </row>
    <row r="73" ht="22.5" customHeight="1">
      <c r="A73" s="126" t="s">
        <v>377</v>
      </c>
      <c r="B73" s="50" t="s">
        <v>379</v>
      </c>
      <c r="C73" s="42" t="s">
        <v>226</v>
      </c>
      <c r="D73" s="50" t="s">
        <v>380</v>
      </c>
      <c r="E73" s="37" t="s">
        <v>382</v>
      </c>
      <c r="F73" s="126" t="s">
        <v>220</v>
      </c>
      <c r="G73" s="21">
        <v>35902.0</v>
      </c>
      <c r="H73" s="21"/>
      <c r="I73" s="21" t="s">
        <v>131</v>
      </c>
      <c r="J73" s="127"/>
      <c r="K73" s="128"/>
      <c r="L73" s="127"/>
      <c r="M73" s="21"/>
      <c r="N73" s="127"/>
      <c r="O73" s="127"/>
      <c r="P73" s="127"/>
      <c r="Q73" s="127"/>
      <c r="R73" s="127"/>
      <c r="S73" s="126"/>
      <c r="T73" s="131"/>
      <c r="U73" s="131"/>
      <c r="V73" s="21"/>
      <c r="W73" s="126"/>
    </row>
    <row r="74" ht="22.5" customHeight="1">
      <c r="A74" s="126" t="s">
        <v>377</v>
      </c>
      <c r="B74" s="50" t="s">
        <v>379</v>
      </c>
      <c r="C74" s="42" t="s">
        <v>226</v>
      </c>
      <c r="D74" s="50" t="s">
        <v>380</v>
      </c>
      <c r="E74" s="37" t="s">
        <v>382</v>
      </c>
      <c r="F74" s="126" t="s">
        <v>220</v>
      </c>
      <c r="G74" s="21">
        <v>34310.0</v>
      </c>
      <c r="H74" s="21"/>
      <c r="I74" s="21" t="s">
        <v>131</v>
      </c>
      <c r="J74" s="127"/>
      <c r="K74" s="128"/>
      <c r="L74" s="127"/>
      <c r="M74" s="21"/>
      <c r="N74" s="127"/>
      <c r="O74" s="127"/>
      <c r="P74" s="127"/>
      <c r="Q74" s="127"/>
      <c r="R74" s="127"/>
      <c r="S74" s="126"/>
      <c r="T74" s="128"/>
      <c r="U74" s="128"/>
      <c r="V74" s="21"/>
      <c r="W74" s="126"/>
    </row>
    <row r="75" ht="22.5" customHeight="1">
      <c r="A75" s="126" t="s">
        <v>377</v>
      </c>
      <c r="B75" s="50" t="s">
        <v>379</v>
      </c>
      <c r="C75" s="42" t="s">
        <v>226</v>
      </c>
      <c r="D75" s="50" t="s">
        <v>380</v>
      </c>
      <c r="E75" s="37" t="s">
        <v>382</v>
      </c>
      <c r="F75" s="126" t="s">
        <v>220</v>
      </c>
      <c r="G75" s="148">
        <v>18908.0</v>
      </c>
      <c r="H75" s="21"/>
      <c r="I75" s="21" t="s">
        <v>131</v>
      </c>
      <c r="J75" s="127"/>
      <c r="K75" s="128"/>
      <c r="L75" s="127"/>
      <c r="M75" s="21"/>
      <c r="N75" s="127"/>
      <c r="O75" s="127"/>
      <c r="P75" s="127"/>
      <c r="Q75" s="127"/>
      <c r="R75" s="127"/>
      <c r="S75" s="126"/>
      <c r="T75" s="21"/>
      <c r="U75" s="21"/>
      <c r="V75" s="21"/>
      <c r="W75" s="126"/>
    </row>
    <row r="76" ht="22.5" customHeight="1">
      <c r="A76" s="126" t="s">
        <v>377</v>
      </c>
      <c r="B76" s="50" t="s">
        <v>379</v>
      </c>
      <c r="C76" s="42" t="s">
        <v>226</v>
      </c>
      <c r="D76" s="50" t="s">
        <v>380</v>
      </c>
      <c r="E76" s="37" t="s">
        <v>382</v>
      </c>
      <c r="F76" s="126" t="s">
        <v>220</v>
      </c>
      <c r="G76" s="148" t="s">
        <v>446</v>
      </c>
      <c r="H76" s="21"/>
      <c r="I76" s="21" t="s">
        <v>131</v>
      </c>
      <c r="J76" s="127"/>
      <c r="K76" s="128"/>
      <c r="L76" s="127"/>
      <c r="M76" s="21"/>
      <c r="N76" s="127"/>
      <c r="O76" s="127"/>
      <c r="P76" s="127"/>
      <c r="Q76" s="127"/>
      <c r="R76" s="127"/>
      <c r="S76" s="126"/>
      <c r="T76" s="21"/>
      <c r="U76" s="21"/>
      <c r="V76" s="21"/>
      <c r="W76" s="126"/>
    </row>
    <row r="77" ht="22.5" customHeight="1">
      <c r="A77" s="126" t="s">
        <v>377</v>
      </c>
      <c r="B77" s="50" t="s">
        <v>379</v>
      </c>
      <c r="C77" s="42" t="s">
        <v>226</v>
      </c>
      <c r="D77" s="50" t="s">
        <v>380</v>
      </c>
      <c r="E77" s="37" t="s">
        <v>382</v>
      </c>
      <c r="F77" s="126" t="s">
        <v>220</v>
      </c>
      <c r="G77" s="148" t="s">
        <v>452</v>
      </c>
      <c r="H77" s="21"/>
      <c r="I77" s="21" t="s">
        <v>131</v>
      </c>
      <c r="J77" s="127"/>
      <c r="K77" s="128">
        <v>46167.0</v>
      </c>
      <c r="L77" s="127"/>
      <c r="M77" s="21"/>
      <c r="N77" s="127"/>
      <c r="O77" s="21" t="s">
        <v>864</v>
      </c>
      <c r="P77" s="21" t="s">
        <v>865</v>
      </c>
      <c r="Q77" s="127"/>
      <c r="R77" s="127"/>
      <c r="S77" s="126" t="s">
        <v>445</v>
      </c>
      <c r="T77" s="21"/>
      <c r="U77" s="21"/>
      <c r="V77" s="21"/>
      <c r="W77" s="126" t="s">
        <v>303</v>
      </c>
    </row>
    <row r="78" ht="22.5" customHeight="1">
      <c r="A78" s="126" t="s">
        <v>377</v>
      </c>
      <c r="B78" s="50" t="s">
        <v>379</v>
      </c>
      <c r="C78" s="93" t="s">
        <v>226</v>
      </c>
      <c r="D78" s="50" t="s">
        <v>380</v>
      </c>
      <c r="E78" s="37" t="s">
        <v>382</v>
      </c>
      <c r="F78" s="126" t="s">
        <v>220</v>
      </c>
      <c r="G78" s="148" t="s">
        <v>455</v>
      </c>
      <c r="H78" s="21"/>
      <c r="I78" s="21" t="s">
        <v>131</v>
      </c>
      <c r="J78" s="128"/>
      <c r="K78" s="128"/>
      <c r="L78" s="127"/>
      <c r="M78" s="21"/>
      <c r="N78" s="127"/>
      <c r="O78" s="127"/>
      <c r="P78" s="127"/>
      <c r="Q78" s="127"/>
      <c r="R78" s="127"/>
      <c r="S78" s="126"/>
      <c r="T78" s="21"/>
      <c r="U78" s="21"/>
      <c r="V78" s="21"/>
      <c r="W78" s="126"/>
    </row>
    <row r="79" ht="22.5" customHeight="1">
      <c r="A79" s="126" t="s">
        <v>377</v>
      </c>
      <c r="B79" s="50" t="s">
        <v>379</v>
      </c>
      <c r="C79" s="93" t="s">
        <v>226</v>
      </c>
      <c r="D79" s="50" t="s">
        <v>380</v>
      </c>
      <c r="E79" s="37" t="s">
        <v>382</v>
      </c>
      <c r="F79" s="126" t="s">
        <v>220</v>
      </c>
      <c r="G79" s="148" t="s">
        <v>462</v>
      </c>
      <c r="H79" s="21"/>
      <c r="I79" s="21" t="s">
        <v>187</v>
      </c>
      <c r="J79" s="128"/>
      <c r="K79" s="128"/>
      <c r="L79" s="127"/>
      <c r="M79" s="21"/>
      <c r="N79" s="127"/>
      <c r="O79" s="127"/>
      <c r="P79" s="127"/>
      <c r="Q79" s="127"/>
      <c r="R79" s="127"/>
      <c r="S79" s="126"/>
      <c r="T79" s="131"/>
      <c r="U79" s="131"/>
      <c r="V79" s="21"/>
      <c r="W79" s="126"/>
    </row>
    <row r="80" ht="22.5" customHeight="1">
      <c r="A80" s="126" t="s">
        <v>377</v>
      </c>
      <c r="B80" s="50" t="s">
        <v>379</v>
      </c>
      <c r="C80" s="93" t="s">
        <v>226</v>
      </c>
      <c r="D80" s="50" t="s">
        <v>380</v>
      </c>
      <c r="E80" s="37" t="s">
        <v>382</v>
      </c>
      <c r="F80" s="126" t="s">
        <v>220</v>
      </c>
      <c r="G80" s="148" t="s">
        <v>464</v>
      </c>
      <c r="H80" s="21"/>
      <c r="I80" s="21" t="s">
        <v>187</v>
      </c>
      <c r="J80" s="128"/>
      <c r="K80" s="128"/>
      <c r="L80" s="127"/>
      <c r="M80" s="21"/>
      <c r="N80" s="127"/>
      <c r="O80" s="127"/>
      <c r="P80" s="127"/>
      <c r="Q80" s="127"/>
      <c r="R80" s="127"/>
      <c r="S80" s="126"/>
      <c r="T80" s="131"/>
      <c r="U80" s="131"/>
      <c r="V80" s="21"/>
      <c r="W80" s="126"/>
    </row>
    <row r="81" ht="22.5" customHeight="1">
      <c r="A81" s="126" t="s">
        <v>377</v>
      </c>
      <c r="B81" s="50" t="s">
        <v>379</v>
      </c>
      <c r="C81" s="93" t="s">
        <v>226</v>
      </c>
      <c r="D81" s="50" t="s">
        <v>380</v>
      </c>
      <c r="E81" s="37" t="s">
        <v>382</v>
      </c>
      <c r="F81" s="126" t="s">
        <v>220</v>
      </c>
      <c r="G81" s="148" t="s">
        <v>829</v>
      </c>
      <c r="H81" s="153"/>
      <c r="I81" s="21" t="s">
        <v>187</v>
      </c>
      <c r="J81" s="128"/>
      <c r="K81" s="128">
        <v>46168.0</v>
      </c>
      <c r="L81" s="127"/>
      <c r="M81" s="21"/>
      <c r="N81" s="127"/>
      <c r="O81" s="21" t="s">
        <v>893</v>
      </c>
      <c r="P81" s="21" t="s">
        <v>894</v>
      </c>
      <c r="Q81" s="127"/>
      <c r="R81" s="127"/>
      <c r="S81" s="126" t="s">
        <v>445</v>
      </c>
      <c r="T81" s="131"/>
      <c r="U81" s="131"/>
      <c r="V81" s="21"/>
      <c r="W81" s="126" t="s">
        <v>303</v>
      </c>
    </row>
    <row r="82" ht="22.5" customHeight="1">
      <c r="A82" s="126" t="s">
        <v>377</v>
      </c>
      <c r="B82" s="50" t="s">
        <v>379</v>
      </c>
      <c r="C82" s="93" t="s">
        <v>226</v>
      </c>
      <c r="D82" s="50" t="s">
        <v>380</v>
      </c>
      <c r="E82" s="37" t="s">
        <v>382</v>
      </c>
      <c r="F82" s="126" t="s">
        <v>220</v>
      </c>
      <c r="G82" s="148" t="s">
        <v>466</v>
      </c>
      <c r="H82" s="157"/>
      <c r="I82" s="21" t="s">
        <v>187</v>
      </c>
      <c r="J82" s="128"/>
      <c r="K82" s="128">
        <v>46168.0</v>
      </c>
      <c r="L82" s="127"/>
      <c r="M82" s="21"/>
      <c r="N82" s="127"/>
      <c r="O82" s="21" t="s">
        <v>903</v>
      </c>
      <c r="P82" s="21" t="s">
        <v>904</v>
      </c>
      <c r="Q82" s="127"/>
      <c r="R82" s="127"/>
      <c r="S82" s="126" t="s">
        <v>445</v>
      </c>
      <c r="T82" s="131"/>
      <c r="U82" s="131"/>
      <c r="V82" s="21"/>
      <c r="W82" s="126" t="s">
        <v>303</v>
      </c>
    </row>
    <row r="83" ht="22.5" customHeight="1">
      <c r="A83" s="126" t="s">
        <v>377</v>
      </c>
      <c r="B83" s="50" t="s">
        <v>379</v>
      </c>
      <c r="C83" s="93" t="s">
        <v>226</v>
      </c>
      <c r="D83" s="50" t="s">
        <v>380</v>
      </c>
      <c r="E83" s="37" t="s">
        <v>382</v>
      </c>
      <c r="F83" s="126" t="s">
        <v>220</v>
      </c>
      <c r="G83" s="148">
        <v>34306.0</v>
      </c>
      <c r="H83" s="21"/>
      <c r="I83" s="21" t="s">
        <v>187</v>
      </c>
      <c r="J83" s="128"/>
      <c r="K83" s="128"/>
      <c r="L83" s="127"/>
      <c r="M83" s="21"/>
      <c r="N83" s="127"/>
      <c r="O83" s="127"/>
      <c r="P83" s="127"/>
      <c r="Q83" s="127"/>
      <c r="R83" s="127"/>
      <c r="S83" s="126"/>
      <c r="T83" s="131"/>
      <c r="U83" s="131"/>
      <c r="V83" s="21"/>
      <c r="W83" s="126"/>
    </row>
    <row r="84" ht="22.5" customHeight="1">
      <c r="A84" s="126" t="s">
        <v>377</v>
      </c>
      <c r="B84" s="50" t="s">
        <v>379</v>
      </c>
      <c r="C84" s="93" t="s">
        <v>226</v>
      </c>
      <c r="D84" s="50" t="s">
        <v>380</v>
      </c>
      <c r="E84" s="37" t="s">
        <v>382</v>
      </c>
      <c r="F84" s="126" t="s">
        <v>220</v>
      </c>
      <c r="G84" s="21">
        <v>34316.0</v>
      </c>
      <c r="H84" s="21"/>
      <c r="I84" s="21" t="s">
        <v>187</v>
      </c>
      <c r="J84" s="128"/>
      <c r="K84" s="128"/>
      <c r="L84" s="127"/>
      <c r="M84" s="21"/>
      <c r="N84" s="127"/>
      <c r="O84" s="127"/>
      <c r="P84" s="127"/>
      <c r="Q84" s="127"/>
      <c r="R84" s="127"/>
      <c r="S84" s="126"/>
      <c r="T84" s="131"/>
      <c r="U84" s="131"/>
      <c r="V84" s="21"/>
      <c r="W84" s="126"/>
    </row>
    <row r="85" ht="22.5" customHeight="1">
      <c r="A85" s="126" t="s">
        <v>377</v>
      </c>
      <c r="B85" s="50" t="s">
        <v>379</v>
      </c>
      <c r="C85" s="93" t="s">
        <v>226</v>
      </c>
      <c r="D85" s="50" t="s">
        <v>380</v>
      </c>
      <c r="E85" s="37" t="s">
        <v>382</v>
      </c>
      <c r="F85" s="126" t="s">
        <v>220</v>
      </c>
      <c r="G85" s="21" t="s">
        <v>469</v>
      </c>
      <c r="H85" s="21"/>
      <c r="I85" s="21" t="s">
        <v>436</v>
      </c>
      <c r="J85" s="128"/>
      <c r="K85" s="128"/>
      <c r="L85" s="127"/>
      <c r="M85" s="21"/>
      <c r="N85" s="127"/>
      <c r="O85" s="127"/>
      <c r="P85" s="127"/>
      <c r="Q85" s="127"/>
      <c r="R85" s="127"/>
      <c r="S85" s="126"/>
      <c r="T85" s="131"/>
      <c r="U85" s="131"/>
      <c r="V85" s="21"/>
      <c r="W85" s="126"/>
    </row>
    <row r="86" ht="22.5" customHeight="1">
      <c r="A86" s="126" t="s">
        <v>377</v>
      </c>
      <c r="B86" s="50" t="s">
        <v>379</v>
      </c>
      <c r="C86" s="93" t="s">
        <v>226</v>
      </c>
      <c r="D86" s="50" t="s">
        <v>380</v>
      </c>
      <c r="E86" s="37" t="s">
        <v>382</v>
      </c>
      <c r="F86" s="126" t="s">
        <v>220</v>
      </c>
      <c r="G86" s="21">
        <v>19886.0</v>
      </c>
      <c r="H86" s="21"/>
      <c r="I86" s="21" t="s">
        <v>436</v>
      </c>
      <c r="J86" s="128"/>
      <c r="K86" s="128"/>
      <c r="L86" s="127"/>
      <c r="M86" s="21"/>
      <c r="N86" s="127"/>
      <c r="O86" s="127"/>
      <c r="P86" s="127"/>
      <c r="Q86" s="127"/>
      <c r="R86" s="127"/>
      <c r="S86" s="126"/>
      <c r="T86" s="131"/>
      <c r="U86" s="131"/>
      <c r="V86" s="21"/>
      <c r="W86" s="126"/>
    </row>
    <row r="87" ht="22.5" customHeight="1">
      <c r="A87" s="126" t="s">
        <v>377</v>
      </c>
      <c r="B87" s="50" t="s">
        <v>379</v>
      </c>
      <c r="C87" s="42" t="s">
        <v>226</v>
      </c>
      <c r="D87" s="50" t="s">
        <v>380</v>
      </c>
      <c r="E87" s="37" t="s">
        <v>382</v>
      </c>
      <c r="F87" s="126" t="s">
        <v>220</v>
      </c>
      <c r="G87" s="21">
        <v>34351.0</v>
      </c>
      <c r="H87" s="21"/>
      <c r="I87" s="21" t="s">
        <v>436</v>
      </c>
      <c r="J87" s="128"/>
      <c r="K87" s="128"/>
      <c r="L87" s="127"/>
      <c r="M87" s="21"/>
      <c r="N87" s="127"/>
      <c r="O87" s="127"/>
      <c r="P87" s="127"/>
      <c r="Q87" s="127"/>
      <c r="R87" s="127"/>
      <c r="S87" s="126"/>
      <c r="T87" s="128"/>
      <c r="U87" s="128"/>
      <c r="V87" s="21"/>
      <c r="W87" s="126"/>
    </row>
    <row r="88" ht="22.5" customHeight="1">
      <c r="A88" s="126" t="s">
        <v>377</v>
      </c>
      <c r="B88" s="50" t="s">
        <v>379</v>
      </c>
      <c r="C88" s="42" t="s">
        <v>226</v>
      </c>
      <c r="D88" s="50" t="s">
        <v>380</v>
      </c>
      <c r="E88" s="37" t="s">
        <v>382</v>
      </c>
      <c r="F88" s="126" t="s">
        <v>220</v>
      </c>
      <c r="G88" s="21" t="s">
        <v>478</v>
      </c>
      <c r="H88" s="21"/>
      <c r="I88" s="21" t="s">
        <v>477</v>
      </c>
      <c r="J88" s="128"/>
      <c r="K88" s="128"/>
      <c r="L88" s="127"/>
      <c r="M88" s="21"/>
      <c r="N88" s="127"/>
      <c r="O88" s="127"/>
      <c r="P88" s="127"/>
      <c r="Q88" s="127"/>
      <c r="R88" s="127"/>
      <c r="S88" s="126"/>
      <c r="T88" s="21"/>
      <c r="U88" s="21"/>
      <c r="V88" s="21"/>
      <c r="W88" s="126"/>
    </row>
    <row r="89" ht="22.5" customHeight="1">
      <c r="A89" s="126" t="s">
        <v>377</v>
      </c>
      <c r="B89" s="50" t="s">
        <v>379</v>
      </c>
      <c r="C89" s="42" t="s">
        <v>226</v>
      </c>
      <c r="D89" s="50" t="s">
        <v>380</v>
      </c>
      <c r="E89" s="37" t="s">
        <v>382</v>
      </c>
      <c r="F89" s="126" t="s">
        <v>220</v>
      </c>
      <c r="G89" s="21" t="s">
        <v>481</v>
      </c>
      <c r="H89" s="21"/>
      <c r="I89" s="21" t="s">
        <v>477</v>
      </c>
      <c r="J89" s="128"/>
      <c r="K89" s="128"/>
      <c r="L89" s="127"/>
      <c r="M89" s="21"/>
      <c r="N89" s="127"/>
      <c r="O89" s="127"/>
      <c r="P89" s="127"/>
      <c r="Q89" s="127"/>
      <c r="R89" s="127"/>
      <c r="S89" s="126"/>
      <c r="T89" s="128"/>
      <c r="U89" s="128"/>
      <c r="V89" s="21"/>
      <c r="W89" s="126"/>
    </row>
    <row r="90" ht="22.5" customHeight="1">
      <c r="A90" s="126" t="s">
        <v>377</v>
      </c>
      <c r="B90" s="50" t="s">
        <v>379</v>
      </c>
      <c r="C90" s="42" t="s">
        <v>226</v>
      </c>
      <c r="D90" s="50" t="s">
        <v>380</v>
      </c>
      <c r="E90" s="37" t="s">
        <v>382</v>
      </c>
      <c r="F90" s="126" t="s">
        <v>220</v>
      </c>
      <c r="G90" s="21" t="s">
        <v>485</v>
      </c>
      <c r="H90" s="21"/>
      <c r="I90" s="21" t="s">
        <v>484</v>
      </c>
      <c r="J90" s="128"/>
      <c r="K90" s="127"/>
      <c r="L90" s="128"/>
      <c r="M90" s="21"/>
      <c r="N90" s="21"/>
      <c r="O90" s="127"/>
      <c r="P90" s="127"/>
      <c r="Q90" s="127"/>
      <c r="R90" s="127"/>
      <c r="S90" s="126"/>
      <c r="T90" s="128"/>
      <c r="U90" s="128"/>
      <c r="V90" s="21"/>
      <c r="W90" s="126"/>
    </row>
    <row r="91" ht="22.5" customHeight="1">
      <c r="A91" s="126" t="s">
        <v>377</v>
      </c>
      <c r="B91" s="50" t="s">
        <v>379</v>
      </c>
      <c r="C91" s="42" t="s">
        <v>226</v>
      </c>
      <c r="D91" s="50" t="s">
        <v>380</v>
      </c>
      <c r="E91" s="37" t="s">
        <v>382</v>
      </c>
      <c r="F91" s="126" t="s">
        <v>220</v>
      </c>
      <c r="G91" s="21" t="s">
        <v>490</v>
      </c>
      <c r="H91" s="21"/>
      <c r="I91" s="21" t="s">
        <v>488</v>
      </c>
      <c r="J91" s="128"/>
      <c r="K91" s="127"/>
      <c r="L91" s="127"/>
      <c r="M91" s="21"/>
      <c r="N91" s="127"/>
      <c r="O91" s="127"/>
      <c r="P91" s="127"/>
      <c r="Q91" s="127"/>
      <c r="R91" s="127"/>
      <c r="S91" s="126"/>
      <c r="T91" s="128"/>
      <c r="U91" s="128"/>
      <c r="V91" s="21"/>
      <c r="W91" s="126"/>
    </row>
    <row r="92" ht="22.5" customHeight="1">
      <c r="A92" s="126" t="s">
        <v>377</v>
      </c>
      <c r="B92" s="50" t="s">
        <v>379</v>
      </c>
      <c r="C92" s="42" t="s">
        <v>226</v>
      </c>
      <c r="D92" s="50" t="s">
        <v>380</v>
      </c>
      <c r="E92" s="37" t="s">
        <v>382</v>
      </c>
      <c r="F92" s="126" t="s">
        <v>220</v>
      </c>
      <c r="G92" s="21" t="s">
        <v>493</v>
      </c>
      <c r="H92" s="21"/>
      <c r="I92" s="21" t="s">
        <v>488</v>
      </c>
      <c r="J92" s="128"/>
      <c r="K92" s="128"/>
      <c r="L92" s="127"/>
      <c r="M92" s="21"/>
      <c r="N92" s="127"/>
      <c r="O92" s="127"/>
      <c r="P92" s="127"/>
      <c r="Q92" s="127"/>
      <c r="R92" s="127"/>
      <c r="S92" s="126"/>
      <c r="T92" s="128"/>
      <c r="U92" s="128"/>
      <c r="V92" s="21"/>
      <c r="W92" s="126"/>
    </row>
    <row r="93" ht="22.5" customHeight="1">
      <c r="A93" s="126" t="s">
        <v>377</v>
      </c>
      <c r="B93" s="50" t="s">
        <v>379</v>
      </c>
      <c r="C93" s="42" t="s">
        <v>226</v>
      </c>
      <c r="D93" s="50" t="s">
        <v>380</v>
      </c>
      <c r="E93" s="37" t="s">
        <v>382</v>
      </c>
      <c r="F93" s="126" t="s">
        <v>220</v>
      </c>
      <c r="G93" s="21" t="s">
        <v>495</v>
      </c>
      <c r="H93" s="21"/>
      <c r="I93" s="21" t="s">
        <v>488</v>
      </c>
      <c r="J93" s="128"/>
      <c r="K93" s="128"/>
      <c r="L93" s="128"/>
      <c r="M93" s="21"/>
      <c r="N93" s="21"/>
      <c r="O93" s="127"/>
      <c r="P93" s="127"/>
      <c r="Q93" s="127"/>
      <c r="R93" s="127"/>
      <c r="S93" s="126"/>
      <c r="T93" s="131"/>
      <c r="U93" s="131"/>
      <c r="V93" s="21"/>
      <c r="W93" s="126"/>
    </row>
    <row r="94" ht="22.5" customHeight="1">
      <c r="A94" s="126" t="s">
        <v>377</v>
      </c>
      <c r="B94" s="50" t="s">
        <v>379</v>
      </c>
      <c r="C94" s="42" t="s">
        <v>226</v>
      </c>
      <c r="D94" s="50" t="s">
        <v>380</v>
      </c>
      <c r="E94" s="37" t="s">
        <v>382</v>
      </c>
      <c r="F94" s="126" t="s">
        <v>220</v>
      </c>
      <c r="G94" s="21" t="s">
        <v>500</v>
      </c>
      <c r="H94" s="21"/>
      <c r="I94" s="21" t="s">
        <v>499</v>
      </c>
      <c r="J94" s="127"/>
      <c r="K94" s="128">
        <v>46007.0</v>
      </c>
      <c r="L94" s="127"/>
      <c r="M94" s="21"/>
      <c r="N94" s="127"/>
      <c r="O94" s="21" t="s">
        <v>1001</v>
      </c>
      <c r="P94" s="127"/>
      <c r="Q94" s="127"/>
      <c r="R94" s="127"/>
      <c r="S94" s="126"/>
      <c r="T94" s="131"/>
      <c r="U94" s="131"/>
      <c r="V94" s="21"/>
      <c r="W94" s="126"/>
    </row>
    <row r="95" ht="22.5" customHeight="1">
      <c r="A95" s="126" t="s">
        <v>377</v>
      </c>
      <c r="B95" s="50" t="s">
        <v>379</v>
      </c>
      <c r="C95" s="42" t="s">
        <v>226</v>
      </c>
      <c r="D95" s="50" t="s">
        <v>380</v>
      </c>
      <c r="E95" s="37" t="s">
        <v>382</v>
      </c>
      <c r="F95" s="126" t="s">
        <v>220</v>
      </c>
      <c r="G95" s="21" t="s">
        <v>502</v>
      </c>
      <c r="H95" s="21"/>
      <c r="I95" s="21" t="s">
        <v>499</v>
      </c>
      <c r="J95" s="128"/>
      <c r="K95" s="128"/>
      <c r="L95" s="127"/>
      <c r="M95" s="21"/>
      <c r="N95" s="127"/>
      <c r="O95" s="127"/>
      <c r="P95" s="127"/>
      <c r="Q95" s="127"/>
      <c r="R95" s="127"/>
      <c r="S95" s="126"/>
      <c r="T95" s="131"/>
      <c r="U95" s="131"/>
      <c r="V95" s="21"/>
      <c r="W95" s="126"/>
    </row>
    <row r="96" ht="22.5" customHeight="1">
      <c r="A96" s="126" t="s">
        <v>377</v>
      </c>
      <c r="B96" s="50" t="s">
        <v>379</v>
      </c>
      <c r="C96" s="42" t="s">
        <v>226</v>
      </c>
      <c r="D96" s="50" t="s">
        <v>380</v>
      </c>
      <c r="E96" s="37" t="s">
        <v>382</v>
      </c>
      <c r="F96" s="126" t="s">
        <v>220</v>
      </c>
      <c r="G96" s="21">
        <v>18912.0</v>
      </c>
      <c r="H96" s="21"/>
      <c r="I96" s="21" t="s">
        <v>499</v>
      </c>
      <c r="J96" s="128"/>
      <c r="K96" s="128"/>
      <c r="L96" s="128"/>
      <c r="M96" s="21"/>
      <c r="N96" s="21"/>
      <c r="O96" s="127"/>
      <c r="P96" s="127"/>
      <c r="Q96" s="127"/>
      <c r="R96" s="127"/>
      <c r="S96" s="126"/>
      <c r="T96" s="131"/>
      <c r="U96" s="131"/>
      <c r="V96" s="21"/>
      <c r="W96" s="126"/>
    </row>
    <row r="97" ht="22.5" customHeight="1">
      <c r="A97" s="126" t="s">
        <v>377</v>
      </c>
      <c r="B97" s="50" t="s">
        <v>379</v>
      </c>
      <c r="C97" s="42" t="s">
        <v>226</v>
      </c>
      <c r="D97" s="50" t="s">
        <v>380</v>
      </c>
      <c r="E97" s="37" t="s">
        <v>382</v>
      </c>
      <c r="F97" s="126" t="s">
        <v>220</v>
      </c>
      <c r="G97" s="148" t="s">
        <v>819</v>
      </c>
      <c r="H97" s="21"/>
      <c r="I97" s="21" t="s">
        <v>506</v>
      </c>
      <c r="J97" s="128"/>
      <c r="K97" s="128"/>
      <c r="L97" s="127"/>
      <c r="M97" s="21"/>
      <c r="N97" s="127"/>
      <c r="O97" s="127"/>
      <c r="P97" s="127"/>
      <c r="Q97" s="127"/>
      <c r="R97" s="127"/>
      <c r="S97" s="126"/>
      <c r="T97" s="131"/>
      <c r="U97" s="131"/>
      <c r="V97" s="21"/>
      <c r="W97" s="126"/>
    </row>
    <row r="98" ht="22.5" customHeight="1">
      <c r="A98" s="126" t="s">
        <v>377</v>
      </c>
      <c r="B98" s="50" t="s">
        <v>379</v>
      </c>
      <c r="C98" s="42" t="s">
        <v>226</v>
      </c>
      <c r="D98" s="50" t="s">
        <v>380</v>
      </c>
      <c r="E98" s="37" t="s">
        <v>382</v>
      </c>
      <c r="F98" s="126" t="s">
        <v>220</v>
      </c>
      <c r="G98" s="148" t="s">
        <v>507</v>
      </c>
      <c r="H98" s="21"/>
      <c r="I98" s="21" t="s">
        <v>506</v>
      </c>
      <c r="J98" s="127"/>
      <c r="K98" s="128">
        <v>46167.0</v>
      </c>
      <c r="L98" s="127"/>
      <c r="M98" s="21"/>
      <c r="N98" s="127"/>
      <c r="O98" s="21" t="s">
        <v>1022</v>
      </c>
      <c r="P98" s="21" t="s">
        <v>1023</v>
      </c>
      <c r="Q98" s="127"/>
      <c r="R98" s="127"/>
      <c r="S98" s="126" t="s">
        <v>445</v>
      </c>
      <c r="T98" s="131"/>
      <c r="U98" s="131"/>
      <c r="V98" s="21"/>
      <c r="W98" s="126" t="s">
        <v>303</v>
      </c>
    </row>
    <row r="99" ht="22.5" customHeight="1">
      <c r="A99" s="126" t="s">
        <v>377</v>
      </c>
      <c r="B99" s="50" t="s">
        <v>379</v>
      </c>
      <c r="C99" s="42" t="s">
        <v>226</v>
      </c>
      <c r="D99" s="50" t="s">
        <v>380</v>
      </c>
      <c r="E99" s="37" t="s">
        <v>382</v>
      </c>
      <c r="F99" s="161" t="s">
        <v>220</v>
      </c>
      <c r="G99" s="21" t="s">
        <v>511</v>
      </c>
      <c r="H99" s="148"/>
      <c r="I99" s="148" t="s">
        <v>510</v>
      </c>
      <c r="J99" s="162"/>
      <c r="K99" s="162">
        <v>46008.0</v>
      </c>
      <c r="L99" s="163"/>
      <c r="M99" s="148"/>
      <c r="N99" s="163"/>
      <c r="O99" s="21" t="s">
        <v>1030</v>
      </c>
      <c r="P99" s="163"/>
      <c r="Q99" s="148"/>
      <c r="R99" s="148"/>
      <c r="S99" s="161"/>
      <c r="T99" s="131"/>
      <c r="U99" s="131"/>
      <c r="V99" s="21"/>
      <c r="W99" s="126"/>
    </row>
    <row r="100" ht="22.5" customHeight="1">
      <c r="A100" s="126" t="s">
        <v>377</v>
      </c>
      <c r="B100" s="50" t="s">
        <v>379</v>
      </c>
      <c r="C100" s="42" t="s">
        <v>226</v>
      </c>
      <c r="D100" s="50" t="s">
        <v>380</v>
      </c>
      <c r="E100" s="37" t="s">
        <v>382</v>
      </c>
      <c r="F100" s="161" t="s">
        <v>220</v>
      </c>
      <c r="G100" s="148" t="s">
        <v>513</v>
      </c>
      <c r="H100" s="148"/>
      <c r="I100" s="148" t="s">
        <v>412</v>
      </c>
      <c r="J100" s="162"/>
      <c r="K100" s="162">
        <v>46008.0</v>
      </c>
      <c r="L100" s="163"/>
      <c r="M100" s="21"/>
      <c r="N100" s="148"/>
      <c r="O100" s="21" t="s">
        <v>1038</v>
      </c>
      <c r="P100" s="127"/>
      <c r="Q100" s="164"/>
      <c r="R100" s="148"/>
      <c r="S100" s="161"/>
      <c r="T100" s="131"/>
      <c r="U100" s="131"/>
      <c r="V100" s="21"/>
      <c r="W100" s="126"/>
    </row>
    <row r="101" ht="22.5" customHeight="1">
      <c r="A101" s="126" t="s">
        <v>377</v>
      </c>
      <c r="B101" s="50" t="s">
        <v>379</v>
      </c>
      <c r="C101" s="42" t="s">
        <v>226</v>
      </c>
      <c r="D101" s="50" t="s">
        <v>380</v>
      </c>
      <c r="E101" s="37" t="s">
        <v>382</v>
      </c>
      <c r="F101" s="161" t="s">
        <v>220</v>
      </c>
      <c r="G101" s="148" t="s">
        <v>518</v>
      </c>
      <c r="H101" s="148"/>
      <c r="I101" s="148" t="s">
        <v>412</v>
      </c>
      <c r="J101" s="162"/>
      <c r="K101" s="162">
        <v>46169.0</v>
      </c>
      <c r="L101" s="163"/>
      <c r="M101" s="21"/>
      <c r="N101" s="163"/>
      <c r="O101" s="165" t="s">
        <v>1046</v>
      </c>
      <c r="P101" s="165" t="s">
        <v>1047</v>
      </c>
      <c r="Q101" s="148"/>
      <c r="R101" s="148"/>
      <c r="S101" s="161" t="s">
        <v>445</v>
      </c>
      <c r="T101" s="131"/>
      <c r="U101" s="131"/>
      <c r="V101" s="21"/>
      <c r="W101" s="126" t="s">
        <v>303</v>
      </c>
    </row>
    <row r="102" ht="22.5" customHeight="1">
      <c r="A102" s="126" t="s">
        <v>377</v>
      </c>
      <c r="B102" s="50" t="s">
        <v>379</v>
      </c>
      <c r="C102" s="42" t="s">
        <v>226</v>
      </c>
      <c r="D102" s="50" t="s">
        <v>380</v>
      </c>
      <c r="E102" s="37" t="s">
        <v>382</v>
      </c>
      <c r="F102" s="161" t="s">
        <v>220</v>
      </c>
      <c r="G102" s="148" t="s">
        <v>523</v>
      </c>
      <c r="H102" s="148"/>
      <c r="I102" s="148" t="s">
        <v>412</v>
      </c>
      <c r="J102" s="162"/>
      <c r="K102" s="162">
        <v>46169.0</v>
      </c>
      <c r="L102" s="163"/>
      <c r="M102" s="21"/>
      <c r="N102" s="163"/>
      <c r="O102" s="165" t="s">
        <v>1056</v>
      </c>
      <c r="P102" s="165" t="s">
        <v>1057</v>
      </c>
      <c r="Q102" s="148"/>
      <c r="R102" s="148"/>
      <c r="S102" s="161" t="s">
        <v>445</v>
      </c>
      <c r="T102" s="128"/>
      <c r="U102" s="128"/>
      <c r="V102" s="21"/>
      <c r="W102" s="126" t="s">
        <v>303</v>
      </c>
    </row>
    <row r="103" ht="22.5" customHeight="1">
      <c r="A103" s="126" t="s">
        <v>377</v>
      </c>
      <c r="B103" s="50" t="s">
        <v>379</v>
      </c>
      <c r="C103" s="42" t="s">
        <v>226</v>
      </c>
      <c r="D103" s="50" t="s">
        <v>380</v>
      </c>
      <c r="E103" s="37" t="s">
        <v>382</v>
      </c>
      <c r="F103" s="161" t="s">
        <v>220</v>
      </c>
      <c r="G103" s="148" t="s">
        <v>524</v>
      </c>
      <c r="H103" s="148"/>
      <c r="I103" s="148" t="s">
        <v>154</v>
      </c>
      <c r="J103" s="162"/>
      <c r="K103" s="162">
        <v>46169.0</v>
      </c>
      <c r="L103" s="163"/>
      <c r="M103" s="21"/>
      <c r="N103" s="163"/>
      <c r="O103" s="165" t="s">
        <v>1056</v>
      </c>
      <c r="P103" s="165" t="s">
        <v>1057</v>
      </c>
      <c r="Q103" s="148"/>
      <c r="R103" s="148"/>
      <c r="S103" s="161" t="s">
        <v>445</v>
      </c>
      <c r="T103" s="128"/>
      <c r="U103" s="128"/>
      <c r="V103" s="21"/>
      <c r="W103" s="126" t="s">
        <v>303</v>
      </c>
    </row>
    <row r="104" ht="22.5" customHeight="1">
      <c r="A104" s="126" t="s">
        <v>377</v>
      </c>
      <c r="B104" s="50" t="s">
        <v>379</v>
      </c>
      <c r="C104" s="42" t="s">
        <v>226</v>
      </c>
      <c r="D104" s="50" t="s">
        <v>380</v>
      </c>
      <c r="E104" s="37" t="s">
        <v>382</v>
      </c>
      <c r="F104" s="161" t="s">
        <v>220</v>
      </c>
      <c r="G104" s="148" t="s">
        <v>526</v>
      </c>
      <c r="H104" s="148"/>
      <c r="I104" s="148" t="s">
        <v>154</v>
      </c>
      <c r="J104" s="162"/>
      <c r="K104" s="162"/>
      <c r="L104" s="163"/>
      <c r="M104" s="21"/>
      <c r="N104" s="163"/>
      <c r="O104" s="127"/>
      <c r="P104" s="163"/>
      <c r="Q104" s="148"/>
      <c r="R104" s="148"/>
      <c r="S104" s="161"/>
      <c r="T104" s="128"/>
      <c r="U104" s="128"/>
      <c r="V104" s="21"/>
      <c r="W104" s="126"/>
    </row>
    <row r="105" ht="22.5" customHeight="1">
      <c r="A105" s="126" t="s">
        <v>377</v>
      </c>
      <c r="B105" s="50" t="s">
        <v>379</v>
      </c>
      <c r="C105" s="42" t="s">
        <v>226</v>
      </c>
      <c r="D105" s="50" t="s">
        <v>380</v>
      </c>
      <c r="E105" s="37" t="s">
        <v>382</v>
      </c>
      <c r="F105" s="161" t="s">
        <v>220</v>
      </c>
      <c r="G105" s="148" t="s">
        <v>529</v>
      </c>
      <c r="H105" s="148"/>
      <c r="I105" s="148" t="s">
        <v>154</v>
      </c>
      <c r="J105" s="162"/>
      <c r="K105" s="128"/>
      <c r="L105" s="163"/>
      <c r="M105" s="21"/>
      <c r="N105" s="163"/>
      <c r="O105" s="127"/>
      <c r="P105" s="163"/>
      <c r="Q105" s="148"/>
      <c r="R105" s="148"/>
      <c r="S105" s="161"/>
      <c r="T105" s="128"/>
      <c r="U105" s="128"/>
      <c r="V105" s="21"/>
      <c r="W105" s="126"/>
    </row>
    <row r="106" ht="22.5" customHeight="1">
      <c r="A106" s="126" t="s">
        <v>377</v>
      </c>
      <c r="B106" s="50" t="s">
        <v>379</v>
      </c>
      <c r="C106" s="42" t="s">
        <v>226</v>
      </c>
      <c r="D106" s="50" t="s">
        <v>380</v>
      </c>
      <c r="E106" s="37" t="s">
        <v>382</v>
      </c>
      <c r="F106" s="161" t="s">
        <v>220</v>
      </c>
      <c r="G106" s="21" t="s">
        <v>536</v>
      </c>
      <c r="H106" s="21"/>
      <c r="I106" s="21" t="s">
        <v>480</v>
      </c>
      <c r="J106" s="162"/>
      <c r="K106" s="128"/>
      <c r="L106" s="163"/>
      <c r="M106" s="148"/>
      <c r="N106" s="163"/>
      <c r="O106" s="127"/>
      <c r="P106" s="163"/>
      <c r="Q106" s="148"/>
      <c r="R106" s="148"/>
      <c r="S106" s="161"/>
      <c r="T106" s="128"/>
      <c r="U106" s="128"/>
      <c r="V106" s="21"/>
      <c r="W106" s="126"/>
    </row>
    <row r="107" ht="22.5" customHeight="1">
      <c r="A107" s="126" t="s">
        <v>377</v>
      </c>
      <c r="B107" s="50" t="s">
        <v>379</v>
      </c>
      <c r="C107" s="42" t="s">
        <v>226</v>
      </c>
      <c r="D107" s="50" t="s">
        <v>380</v>
      </c>
      <c r="E107" s="37" t="s">
        <v>382</v>
      </c>
      <c r="F107" s="161" t="s">
        <v>220</v>
      </c>
      <c r="G107" s="21" t="s">
        <v>540</v>
      </c>
      <c r="H107" s="21"/>
      <c r="I107" s="21" t="s">
        <v>480</v>
      </c>
      <c r="J107" s="162"/>
      <c r="K107" s="162">
        <v>46169.0</v>
      </c>
      <c r="L107" s="162"/>
      <c r="M107" s="148"/>
      <c r="N107" s="163"/>
      <c r="O107" s="21" t="s">
        <v>1091</v>
      </c>
      <c r="P107" s="21" t="s">
        <v>1092</v>
      </c>
      <c r="Q107" s="148"/>
      <c r="R107" s="148"/>
      <c r="S107" s="161" t="s">
        <v>445</v>
      </c>
      <c r="T107" s="21"/>
      <c r="U107" s="21"/>
      <c r="V107" s="21"/>
      <c r="W107" s="126" t="s">
        <v>303</v>
      </c>
    </row>
    <row r="108" ht="22.5" customHeight="1">
      <c r="A108" s="126" t="s">
        <v>377</v>
      </c>
      <c r="B108" s="50" t="s">
        <v>379</v>
      </c>
      <c r="C108" s="42" t="s">
        <v>226</v>
      </c>
      <c r="D108" s="50" t="s">
        <v>380</v>
      </c>
      <c r="E108" s="37" t="s">
        <v>382</v>
      </c>
      <c r="F108" s="161" t="s">
        <v>220</v>
      </c>
      <c r="G108" s="21" t="s">
        <v>546</v>
      </c>
      <c r="H108" s="21"/>
      <c r="I108" s="21" t="s">
        <v>480</v>
      </c>
      <c r="J108" s="162"/>
      <c r="K108" s="162"/>
      <c r="L108" s="163"/>
      <c r="M108" s="162"/>
      <c r="N108" s="163"/>
      <c r="O108" s="127"/>
      <c r="P108" s="163"/>
      <c r="Q108" s="148"/>
      <c r="R108" s="148"/>
      <c r="S108" s="161"/>
      <c r="T108" s="128"/>
      <c r="U108" s="128"/>
      <c r="V108" s="21"/>
      <c r="W108" s="126"/>
    </row>
    <row r="109" ht="22.5" customHeight="1">
      <c r="A109" s="126" t="s">
        <v>377</v>
      </c>
      <c r="B109" s="50" t="s">
        <v>379</v>
      </c>
      <c r="C109" s="42" t="s">
        <v>226</v>
      </c>
      <c r="D109" s="50" t="s">
        <v>380</v>
      </c>
      <c r="E109" s="37" t="s">
        <v>382</v>
      </c>
      <c r="F109" s="161" t="s">
        <v>220</v>
      </c>
      <c r="G109" s="148" t="s">
        <v>754</v>
      </c>
      <c r="H109" s="148"/>
      <c r="I109" s="148" t="s">
        <v>753</v>
      </c>
      <c r="J109" s="162"/>
      <c r="K109" s="162"/>
      <c r="L109" s="163"/>
      <c r="M109" s="162"/>
      <c r="N109" s="163"/>
      <c r="O109" s="127"/>
      <c r="P109" s="163"/>
      <c r="Q109" s="148"/>
      <c r="R109" s="148"/>
      <c r="S109" s="161"/>
      <c r="T109" s="128"/>
      <c r="U109" s="128"/>
      <c r="V109" s="21"/>
      <c r="W109" s="126"/>
    </row>
    <row r="110" ht="22.5" customHeight="1">
      <c r="A110" s="126" t="s">
        <v>377</v>
      </c>
      <c r="B110" s="50" t="s">
        <v>379</v>
      </c>
      <c r="C110" s="42" t="s">
        <v>226</v>
      </c>
      <c r="D110" s="50" t="s">
        <v>380</v>
      </c>
      <c r="E110" s="37" t="s">
        <v>382</v>
      </c>
      <c r="F110" s="161" t="s">
        <v>220</v>
      </c>
      <c r="G110" s="21" t="s">
        <v>553</v>
      </c>
      <c r="H110" s="21"/>
      <c r="I110" s="21" t="s">
        <v>515</v>
      </c>
      <c r="J110" s="162"/>
      <c r="K110" s="128"/>
      <c r="L110" s="163"/>
      <c r="M110" s="21"/>
      <c r="N110" s="163"/>
      <c r="O110" s="127"/>
      <c r="P110" s="163"/>
      <c r="Q110" s="148"/>
      <c r="R110" s="148"/>
      <c r="S110" s="161"/>
      <c r="T110" s="131"/>
      <c r="U110" s="131"/>
      <c r="V110" s="21"/>
      <c r="W110" s="126"/>
    </row>
    <row r="111" ht="22.5" customHeight="1">
      <c r="A111" s="126" t="s">
        <v>377</v>
      </c>
      <c r="B111" s="50" t="s">
        <v>379</v>
      </c>
      <c r="C111" s="42" t="s">
        <v>226</v>
      </c>
      <c r="D111" s="50" t="s">
        <v>380</v>
      </c>
      <c r="E111" s="37" t="s">
        <v>382</v>
      </c>
      <c r="F111" s="161" t="s">
        <v>220</v>
      </c>
      <c r="G111" s="21" t="s">
        <v>557</v>
      </c>
      <c r="H111" s="21"/>
      <c r="I111" s="21" t="s">
        <v>492</v>
      </c>
      <c r="J111" s="162"/>
      <c r="K111" s="162">
        <v>46161.0</v>
      </c>
      <c r="L111" s="163"/>
      <c r="M111" s="148"/>
      <c r="N111" s="163"/>
      <c r="O111" s="148" t="s">
        <v>1117</v>
      </c>
      <c r="P111" s="148" t="s">
        <v>1118</v>
      </c>
      <c r="Q111" s="148"/>
      <c r="R111" s="148"/>
      <c r="S111" s="161" t="s">
        <v>445</v>
      </c>
      <c r="T111" s="131"/>
      <c r="U111" s="131"/>
      <c r="V111" s="21"/>
      <c r="W111" s="126" t="s">
        <v>303</v>
      </c>
    </row>
    <row r="112" ht="22.5" customHeight="1">
      <c r="A112" s="126" t="s">
        <v>377</v>
      </c>
      <c r="B112" s="50" t="s">
        <v>379</v>
      </c>
      <c r="C112" s="42" t="s">
        <v>226</v>
      </c>
      <c r="D112" s="50" t="s">
        <v>380</v>
      </c>
      <c r="E112" s="37" t="s">
        <v>382</v>
      </c>
      <c r="F112" s="161" t="s">
        <v>220</v>
      </c>
      <c r="G112" s="148" t="s">
        <v>565</v>
      </c>
      <c r="H112" s="21"/>
      <c r="I112" s="21" t="s">
        <v>336</v>
      </c>
      <c r="J112" s="162"/>
      <c r="K112" s="162">
        <v>46161.0</v>
      </c>
      <c r="L112" s="163"/>
      <c r="M112" s="148"/>
      <c r="N112" s="163"/>
      <c r="O112" s="148" t="s">
        <v>1124</v>
      </c>
      <c r="P112" s="148" t="s">
        <v>1126</v>
      </c>
      <c r="Q112" s="148"/>
      <c r="R112" s="148"/>
      <c r="S112" s="161" t="s">
        <v>445</v>
      </c>
      <c r="T112" s="131"/>
      <c r="U112" s="131"/>
      <c r="V112" s="21"/>
      <c r="W112" s="126" t="s">
        <v>303</v>
      </c>
    </row>
    <row r="113" ht="22.5" customHeight="1">
      <c r="A113" s="126" t="s">
        <v>377</v>
      </c>
      <c r="B113" s="50" t="s">
        <v>379</v>
      </c>
      <c r="C113" s="42" t="s">
        <v>226</v>
      </c>
      <c r="D113" s="50" t="s">
        <v>380</v>
      </c>
      <c r="E113" s="37" t="s">
        <v>382</v>
      </c>
      <c r="F113" s="161" t="s">
        <v>220</v>
      </c>
      <c r="G113" s="21" t="s">
        <v>570</v>
      </c>
      <c r="H113" s="21"/>
      <c r="I113" s="21" t="s">
        <v>336</v>
      </c>
      <c r="J113" s="162"/>
      <c r="K113" s="162">
        <v>46161.0</v>
      </c>
      <c r="L113" s="163"/>
      <c r="M113" s="148"/>
      <c r="N113" s="163"/>
      <c r="O113" s="21" t="s">
        <v>1132</v>
      </c>
      <c r="P113" s="148" t="s">
        <v>1126</v>
      </c>
      <c r="Q113" s="148"/>
      <c r="R113" s="148"/>
      <c r="S113" s="161" t="s">
        <v>445</v>
      </c>
      <c r="T113" s="21"/>
      <c r="U113" s="21"/>
      <c r="V113" s="21"/>
      <c r="W113" s="126" t="s">
        <v>303</v>
      </c>
    </row>
    <row r="114" ht="22.5" customHeight="1">
      <c r="A114" s="126" t="s">
        <v>377</v>
      </c>
      <c r="B114" s="50" t="s">
        <v>379</v>
      </c>
      <c r="C114" s="42" t="s">
        <v>226</v>
      </c>
      <c r="D114" s="50" t="s">
        <v>380</v>
      </c>
      <c r="E114" s="37" t="s">
        <v>382</v>
      </c>
      <c r="F114" s="161" t="s">
        <v>220</v>
      </c>
      <c r="G114" s="21" t="s">
        <v>574</v>
      </c>
      <c r="H114" s="21"/>
      <c r="I114" s="21" t="s">
        <v>201</v>
      </c>
      <c r="J114" s="162"/>
      <c r="K114" s="162">
        <v>46161.0</v>
      </c>
      <c r="L114" s="163"/>
      <c r="M114" s="21"/>
      <c r="N114" s="163"/>
      <c r="O114" s="148" t="s">
        <v>1117</v>
      </c>
      <c r="P114" s="148" t="s">
        <v>1118</v>
      </c>
      <c r="Q114" s="148"/>
      <c r="R114" s="148"/>
      <c r="S114" s="161" t="s">
        <v>445</v>
      </c>
      <c r="T114" s="21"/>
      <c r="U114" s="21"/>
      <c r="V114" s="21"/>
      <c r="W114" s="126" t="s">
        <v>303</v>
      </c>
    </row>
    <row r="115" ht="22.5" customHeight="1">
      <c r="A115" s="126" t="s">
        <v>377</v>
      </c>
      <c r="B115" s="50" t="s">
        <v>379</v>
      </c>
      <c r="C115" s="42" t="s">
        <v>226</v>
      </c>
      <c r="D115" s="50" t="s">
        <v>380</v>
      </c>
      <c r="E115" s="37" t="s">
        <v>382</v>
      </c>
      <c r="F115" s="161" t="s">
        <v>220</v>
      </c>
      <c r="G115" s="21" t="s">
        <v>580</v>
      </c>
      <c r="H115" s="21"/>
      <c r="I115" s="21" t="s">
        <v>451</v>
      </c>
      <c r="J115" s="162"/>
      <c r="K115" s="162">
        <v>46164.0</v>
      </c>
      <c r="L115" s="163"/>
      <c r="M115" s="148"/>
      <c r="N115" s="163"/>
      <c r="O115" s="148" t="s">
        <v>1145</v>
      </c>
      <c r="P115" s="148" t="s">
        <v>1146</v>
      </c>
      <c r="Q115" s="148"/>
      <c r="R115" s="148"/>
      <c r="S115" s="161" t="s">
        <v>445</v>
      </c>
      <c r="T115" s="128"/>
      <c r="U115" s="128"/>
      <c r="V115" s="21"/>
      <c r="W115" s="126" t="s">
        <v>303</v>
      </c>
    </row>
    <row r="116" ht="22.5" customHeight="1">
      <c r="A116" s="126" t="s">
        <v>377</v>
      </c>
      <c r="B116" s="50" t="s">
        <v>379</v>
      </c>
      <c r="C116" s="42" t="s">
        <v>226</v>
      </c>
      <c r="D116" s="50" t="s">
        <v>380</v>
      </c>
      <c r="E116" s="37" t="s">
        <v>382</v>
      </c>
      <c r="F116" s="161" t="s">
        <v>220</v>
      </c>
      <c r="G116" s="21" t="s">
        <v>588</v>
      </c>
      <c r="H116" s="21"/>
      <c r="I116" s="21" t="s">
        <v>584</v>
      </c>
      <c r="J116" s="162"/>
      <c r="K116" s="162">
        <v>46167.0</v>
      </c>
      <c r="L116" s="163"/>
      <c r="M116" s="148"/>
      <c r="N116" s="163"/>
      <c r="O116" s="148" t="s">
        <v>1124</v>
      </c>
      <c r="P116" s="148" t="s">
        <v>1152</v>
      </c>
      <c r="Q116" s="148"/>
      <c r="R116" s="148"/>
      <c r="S116" s="161" t="s">
        <v>445</v>
      </c>
      <c r="T116" s="128"/>
      <c r="U116" s="128"/>
      <c r="V116" s="21"/>
      <c r="W116" s="126" t="s">
        <v>303</v>
      </c>
    </row>
    <row r="117" ht="22.5" customHeight="1">
      <c r="A117" s="126" t="s">
        <v>377</v>
      </c>
      <c r="B117" s="50" t="s">
        <v>379</v>
      </c>
      <c r="C117" s="42" t="s">
        <v>226</v>
      </c>
      <c r="D117" s="50" t="s">
        <v>380</v>
      </c>
      <c r="E117" s="37" t="s">
        <v>382</v>
      </c>
      <c r="F117" s="161" t="s">
        <v>220</v>
      </c>
      <c r="G117" s="148" t="s">
        <v>592</v>
      </c>
      <c r="H117" s="21"/>
      <c r="I117" s="21" t="s">
        <v>297</v>
      </c>
      <c r="J117" s="162"/>
      <c r="K117" s="128">
        <v>46168.0</v>
      </c>
      <c r="L117" s="163"/>
      <c r="M117" s="21"/>
      <c r="N117" s="163"/>
      <c r="O117" s="21" t="s">
        <v>1157</v>
      </c>
      <c r="P117" s="148" t="s">
        <v>1126</v>
      </c>
      <c r="Q117" s="148"/>
      <c r="R117" s="148"/>
      <c r="S117" s="161" t="s">
        <v>445</v>
      </c>
      <c r="T117" s="21"/>
      <c r="U117" s="21"/>
      <c r="V117" s="21"/>
      <c r="W117" s="126" t="s">
        <v>303</v>
      </c>
    </row>
    <row r="118" ht="22.5" customHeight="1">
      <c r="A118" s="126" t="s">
        <v>377</v>
      </c>
      <c r="B118" s="50" t="s">
        <v>379</v>
      </c>
      <c r="C118" s="42" t="s">
        <v>226</v>
      </c>
      <c r="D118" s="50" t="s">
        <v>380</v>
      </c>
      <c r="E118" s="37" t="s">
        <v>382</v>
      </c>
      <c r="F118" s="161" t="s">
        <v>220</v>
      </c>
      <c r="G118" s="21" t="s">
        <v>597</v>
      </c>
      <c r="H118" s="148"/>
      <c r="I118" s="148" t="s">
        <v>297</v>
      </c>
      <c r="J118" s="162"/>
      <c r="K118" s="162">
        <v>46160.0</v>
      </c>
      <c r="L118" s="162"/>
      <c r="M118" s="148"/>
      <c r="N118" s="148"/>
      <c r="O118" s="21" t="s">
        <v>1157</v>
      </c>
      <c r="P118" s="148" t="s">
        <v>1126</v>
      </c>
      <c r="Q118" s="148"/>
      <c r="R118" s="148"/>
      <c r="S118" s="161" t="s">
        <v>445</v>
      </c>
      <c r="T118" s="131"/>
      <c r="U118" s="131"/>
      <c r="V118" s="21"/>
      <c r="W118" s="126" t="s">
        <v>303</v>
      </c>
    </row>
    <row r="119" ht="22.5" customHeight="1">
      <c r="A119" s="126" t="s">
        <v>377</v>
      </c>
      <c r="B119" s="50" t="s">
        <v>379</v>
      </c>
      <c r="C119" s="42" t="s">
        <v>226</v>
      </c>
      <c r="D119" s="50" t="s">
        <v>380</v>
      </c>
      <c r="E119" s="37" t="s">
        <v>382</v>
      </c>
      <c r="F119" s="161" t="s">
        <v>220</v>
      </c>
      <c r="G119" s="21" t="s">
        <v>759</v>
      </c>
      <c r="H119" s="21"/>
      <c r="I119" s="21" t="s">
        <v>297</v>
      </c>
      <c r="J119" s="162"/>
      <c r="K119" s="128"/>
      <c r="L119" s="163"/>
      <c r="M119" s="21"/>
      <c r="N119" s="163"/>
      <c r="O119" s="127"/>
      <c r="P119" s="163"/>
      <c r="Q119" s="148"/>
      <c r="R119" s="148"/>
      <c r="S119" s="161"/>
      <c r="T119" s="131"/>
      <c r="U119" s="131"/>
      <c r="V119" s="21"/>
      <c r="W119" s="126"/>
    </row>
    <row r="120" ht="22.5" customHeight="1">
      <c r="A120" s="126" t="s">
        <v>377</v>
      </c>
      <c r="B120" s="50" t="s">
        <v>379</v>
      </c>
      <c r="C120" s="42" t="s">
        <v>226</v>
      </c>
      <c r="D120" s="50" t="s">
        <v>380</v>
      </c>
      <c r="E120" s="37" t="s">
        <v>382</v>
      </c>
      <c r="F120" s="161" t="s">
        <v>220</v>
      </c>
      <c r="G120" s="148" t="s">
        <v>601</v>
      </c>
      <c r="H120" s="148"/>
      <c r="I120" s="148" t="s">
        <v>107</v>
      </c>
      <c r="J120" s="162"/>
      <c r="K120" s="162">
        <v>46169.0</v>
      </c>
      <c r="L120" s="168"/>
      <c r="M120" s="148"/>
      <c r="N120" s="148"/>
      <c r="O120" s="21" t="s">
        <v>1157</v>
      </c>
      <c r="P120" s="148" t="s">
        <v>1126</v>
      </c>
      <c r="Q120" s="148"/>
      <c r="R120" s="148"/>
      <c r="S120" s="161" t="s">
        <v>445</v>
      </c>
      <c r="T120" s="131"/>
      <c r="U120" s="131"/>
      <c r="V120" s="21"/>
      <c r="W120" s="126" t="s">
        <v>303</v>
      </c>
    </row>
    <row r="121" ht="22.5" customHeight="1">
      <c r="A121" s="126" t="s">
        <v>377</v>
      </c>
      <c r="B121" s="50" t="s">
        <v>379</v>
      </c>
      <c r="C121" s="42" t="s">
        <v>226</v>
      </c>
      <c r="D121" s="50" t="s">
        <v>380</v>
      </c>
      <c r="E121" s="37" t="s">
        <v>382</v>
      </c>
      <c r="F121" s="161" t="s">
        <v>220</v>
      </c>
      <c r="G121" s="148" t="s">
        <v>608</v>
      </c>
      <c r="H121" s="148"/>
      <c r="I121" s="148" t="s">
        <v>98</v>
      </c>
      <c r="J121" s="162"/>
      <c r="K121" s="128">
        <v>46167.0</v>
      </c>
      <c r="L121" s="163"/>
      <c r="M121" s="148"/>
      <c r="N121" s="163"/>
      <c r="O121" s="21" t="s">
        <v>1157</v>
      </c>
      <c r="P121" s="148" t="s">
        <v>1126</v>
      </c>
      <c r="Q121" s="148"/>
      <c r="R121" s="148"/>
      <c r="S121" s="161" t="s">
        <v>445</v>
      </c>
      <c r="T121" s="128"/>
      <c r="U121" s="128"/>
      <c r="V121" s="21"/>
      <c r="W121" s="126" t="s">
        <v>303</v>
      </c>
    </row>
    <row r="122" ht="22.5" customHeight="1">
      <c r="A122" s="126" t="s">
        <v>377</v>
      </c>
      <c r="B122" s="50" t="s">
        <v>379</v>
      </c>
      <c r="C122" s="42" t="s">
        <v>226</v>
      </c>
      <c r="D122" s="50" t="s">
        <v>380</v>
      </c>
      <c r="E122" s="37" t="s">
        <v>382</v>
      </c>
      <c r="F122" s="161" t="s">
        <v>220</v>
      </c>
      <c r="G122" s="148" t="s">
        <v>612</v>
      </c>
      <c r="H122" s="148"/>
      <c r="I122" s="148" t="s">
        <v>98</v>
      </c>
      <c r="J122" s="162"/>
      <c r="K122" s="168"/>
      <c r="L122" s="163"/>
      <c r="M122" s="148"/>
      <c r="N122" s="163"/>
      <c r="O122" s="127"/>
      <c r="P122" s="163"/>
      <c r="Q122" s="148"/>
      <c r="R122" s="148"/>
      <c r="S122" s="161"/>
      <c r="T122" s="128"/>
      <c r="U122" s="128"/>
      <c r="V122" s="21"/>
      <c r="W122" s="126"/>
    </row>
    <row r="123" ht="22.5" customHeight="1">
      <c r="A123" s="126" t="s">
        <v>377</v>
      </c>
      <c r="B123" s="50" t="s">
        <v>379</v>
      </c>
      <c r="C123" s="42" t="s">
        <v>226</v>
      </c>
      <c r="D123" s="50" t="s">
        <v>380</v>
      </c>
      <c r="E123" s="37" t="s">
        <v>382</v>
      </c>
      <c r="F123" s="161" t="s">
        <v>220</v>
      </c>
      <c r="G123" s="148" t="s">
        <v>620</v>
      </c>
      <c r="H123" s="148"/>
      <c r="I123" s="148" t="s">
        <v>98</v>
      </c>
      <c r="J123" s="162"/>
      <c r="K123" s="128">
        <v>46167.0</v>
      </c>
      <c r="L123" s="163"/>
      <c r="M123" s="148"/>
      <c r="N123" s="163"/>
      <c r="O123" s="21" t="s">
        <v>1157</v>
      </c>
      <c r="P123" s="148" t="s">
        <v>1126</v>
      </c>
      <c r="Q123" s="148"/>
      <c r="R123" s="148"/>
      <c r="S123" s="161" t="s">
        <v>445</v>
      </c>
      <c r="T123" s="131"/>
      <c r="U123" s="131"/>
      <c r="V123" s="21"/>
      <c r="W123" s="126" t="s">
        <v>303</v>
      </c>
    </row>
    <row r="124" ht="22.5" customHeight="1">
      <c r="A124" s="126" t="s">
        <v>377</v>
      </c>
      <c r="B124" s="50" t="s">
        <v>379</v>
      </c>
      <c r="C124" s="42" t="s">
        <v>226</v>
      </c>
      <c r="D124" s="50" t="s">
        <v>380</v>
      </c>
      <c r="E124" s="37" t="s">
        <v>382</v>
      </c>
      <c r="F124" s="161" t="s">
        <v>220</v>
      </c>
      <c r="G124" s="148" t="s">
        <v>736</v>
      </c>
      <c r="H124" s="148"/>
      <c r="I124" s="148" t="s">
        <v>98</v>
      </c>
      <c r="J124" s="162"/>
      <c r="K124" s="128">
        <v>46167.0</v>
      </c>
      <c r="L124" s="163"/>
      <c r="M124" s="148"/>
      <c r="N124" s="163"/>
      <c r="O124" s="21" t="s">
        <v>1190</v>
      </c>
      <c r="P124" s="148" t="s">
        <v>1191</v>
      </c>
      <c r="Q124" s="148"/>
      <c r="R124" s="148"/>
      <c r="S124" s="161" t="s">
        <v>445</v>
      </c>
      <c r="T124" s="131"/>
      <c r="U124" s="131"/>
      <c r="V124" s="21"/>
      <c r="W124" s="126" t="s">
        <v>303</v>
      </c>
    </row>
    <row r="125" ht="22.5" customHeight="1">
      <c r="A125" s="126" t="s">
        <v>377</v>
      </c>
      <c r="B125" s="50" t="s">
        <v>379</v>
      </c>
      <c r="C125" s="42" t="s">
        <v>226</v>
      </c>
      <c r="D125" s="50" t="s">
        <v>380</v>
      </c>
      <c r="E125" s="37" t="s">
        <v>382</v>
      </c>
      <c r="F125" s="161" t="s">
        <v>220</v>
      </c>
      <c r="G125" s="148" t="s">
        <v>739</v>
      </c>
      <c r="H125" s="148"/>
      <c r="I125" s="148" t="s">
        <v>98</v>
      </c>
      <c r="J125" s="162"/>
      <c r="K125" s="128">
        <v>46167.0</v>
      </c>
      <c r="L125" s="163"/>
      <c r="M125" s="148"/>
      <c r="N125" s="163"/>
      <c r="O125" s="21" t="s">
        <v>1190</v>
      </c>
      <c r="P125" s="148" t="s">
        <v>1191</v>
      </c>
      <c r="Q125" s="148"/>
      <c r="R125" s="148"/>
      <c r="S125" s="161" t="s">
        <v>445</v>
      </c>
      <c r="T125" s="131"/>
      <c r="U125" s="131"/>
      <c r="V125" s="21"/>
      <c r="W125" s="126" t="s">
        <v>303</v>
      </c>
    </row>
    <row r="126" ht="22.5" customHeight="1">
      <c r="A126" s="126" t="s">
        <v>377</v>
      </c>
      <c r="B126" s="50" t="s">
        <v>379</v>
      </c>
      <c r="C126" s="169" t="s">
        <v>226</v>
      </c>
      <c r="D126" s="50" t="s">
        <v>380</v>
      </c>
      <c r="E126" s="37" t="s">
        <v>382</v>
      </c>
      <c r="F126" s="161" t="s">
        <v>220</v>
      </c>
      <c r="G126" s="148" t="s">
        <v>625</v>
      </c>
      <c r="H126" s="148"/>
      <c r="I126" s="148" t="s">
        <v>422</v>
      </c>
      <c r="J126" s="162"/>
      <c r="K126" s="162"/>
      <c r="L126" s="163"/>
      <c r="M126" s="148"/>
      <c r="N126" s="163"/>
      <c r="O126" s="148"/>
      <c r="P126" s="163"/>
      <c r="Q126" s="148"/>
      <c r="R126" s="148"/>
      <c r="S126" s="161"/>
      <c r="T126" s="128"/>
      <c r="U126" s="128"/>
      <c r="V126" s="21"/>
      <c r="W126" s="126"/>
    </row>
    <row r="127" ht="22.5" customHeight="1">
      <c r="A127" s="126" t="s">
        <v>377</v>
      </c>
      <c r="B127" s="50" t="s">
        <v>379</v>
      </c>
      <c r="C127" s="169" t="s">
        <v>226</v>
      </c>
      <c r="D127" s="50" t="s">
        <v>380</v>
      </c>
      <c r="E127" s="37" t="s">
        <v>382</v>
      </c>
      <c r="F127" s="161" t="s">
        <v>220</v>
      </c>
      <c r="G127" s="148" t="s">
        <v>629</v>
      </c>
      <c r="H127" s="148"/>
      <c r="I127" s="148" t="s">
        <v>422</v>
      </c>
      <c r="J127" s="162"/>
      <c r="K127" s="162">
        <v>46160.0</v>
      </c>
      <c r="L127" s="163"/>
      <c r="M127" s="148"/>
      <c r="N127" s="163"/>
      <c r="O127" s="21" t="s">
        <v>1201</v>
      </c>
      <c r="P127" s="21" t="s">
        <v>1202</v>
      </c>
      <c r="Q127" s="148"/>
      <c r="R127" s="148"/>
      <c r="S127" s="161" t="s">
        <v>445</v>
      </c>
      <c r="T127" s="128"/>
      <c r="U127" s="128"/>
      <c r="V127" s="21"/>
      <c r="W127" s="126" t="s">
        <v>303</v>
      </c>
    </row>
    <row r="128" ht="22.5" customHeight="1">
      <c r="A128" s="126" t="s">
        <v>377</v>
      </c>
      <c r="B128" s="50" t="s">
        <v>379</v>
      </c>
      <c r="C128" s="169" t="s">
        <v>226</v>
      </c>
      <c r="D128" s="50" t="s">
        <v>380</v>
      </c>
      <c r="E128" s="37" t="s">
        <v>382</v>
      </c>
      <c r="F128" s="161" t="s">
        <v>632</v>
      </c>
      <c r="G128" s="148" t="s">
        <v>635</v>
      </c>
      <c r="H128" s="148"/>
      <c r="I128" s="148" t="s">
        <v>124</v>
      </c>
      <c r="J128" s="162"/>
      <c r="K128" s="162"/>
      <c r="L128" s="163"/>
      <c r="M128" s="148"/>
      <c r="N128" s="163"/>
      <c r="O128" s="148"/>
      <c r="P128" s="163"/>
      <c r="Q128" s="148"/>
      <c r="R128" s="148"/>
      <c r="S128" s="161"/>
      <c r="T128" s="131"/>
      <c r="U128" s="131"/>
      <c r="V128" s="21"/>
      <c r="W128" s="126"/>
    </row>
    <row r="129" ht="22.5" customHeight="1">
      <c r="A129" s="126" t="s">
        <v>377</v>
      </c>
      <c r="B129" s="50" t="s">
        <v>379</v>
      </c>
      <c r="C129" s="169" t="s">
        <v>226</v>
      </c>
      <c r="D129" s="50" t="s">
        <v>380</v>
      </c>
      <c r="E129" s="37" t="s">
        <v>382</v>
      </c>
      <c r="F129" s="161" t="s">
        <v>220</v>
      </c>
      <c r="G129" s="148" t="s">
        <v>644</v>
      </c>
      <c r="H129" s="148"/>
      <c r="I129" s="148" t="s">
        <v>124</v>
      </c>
      <c r="J129" s="162"/>
      <c r="K129" s="162"/>
      <c r="L129" s="163"/>
      <c r="M129" s="148"/>
      <c r="N129" s="163"/>
      <c r="O129" s="148"/>
      <c r="P129" s="163"/>
      <c r="Q129" s="148"/>
      <c r="R129" s="148"/>
      <c r="S129" s="161"/>
      <c r="T129" s="131"/>
      <c r="U129" s="131"/>
      <c r="V129" s="21"/>
      <c r="W129" s="126"/>
    </row>
    <row r="130" ht="22.5" customHeight="1">
      <c r="A130" s="126" t="s">
        <v>377</v>
      </c>
      <c r="B130" s="50" t="s">
        <v>379</v>
      </c>
      <c r="C130" s="169" t="s">
        <v>226</v>
      </c>
      <c r="D130" s="50" t="s">
        <v>380</v>
      </c>
      <c r="E130" s="37" t="s">
        <v>382</v>
      </c>
      <c r="F130" s="161" t="s">
        <v>220</v>
      </c>
      <c r="G130" s="148" t="s">
        <v>646</v>
      </c>
      <c r="H130" s="148"/>
      <c r="I130" s="148" t="s">
        <v>124</v>
      </c>
      <c r="J130" s="162"/>
      <c r="K130" s="162"/>
      <c r="L130" s="163"/>
      <c r="M130" s="148"/>
      <c r="N130" s="163"/>
      <c r="O130" s="148"/>
      <c r="P130" s="163"/>
      <c r="Q130" s="148"/>
      <c r="R130" s="148"/>
      <c r="S130" s="161"/>
      <c r="T130" s="131"/>
      <c r="U130" s="131"/>
      <c r="V130" s="21"/>
      <c r="W130" s="126"/>
    </row>
    <row r="131" ht="22.5" customHeight="1">
      <c r="A131" s="126" t="s">
        <v>377</v>
      </c>
      <c r="B131" s="50" t="s">
        <v>379</v>
      </c>
      <c r="C131" s="169" t="s">
        <v>226</v>
      </c>
      <c r="D131" s="50" t="s">
        <v>380</v>
      </c>
      <c r="E131" s="37" t="s">
        <v>382</v>
      </c>
      <c r="F131" s="161" t="s">
        <v>220</v>
      </c>
      <c r="G131" s="148" t="s">
        <v>651</v>
      </c>
      <c r="H131" s="148"/>
      <c r="I131" s="148" t="s">
        <v>124</v>
      </c>
      <c r="J131" s="162"/>
      <c r="K131" s="162"/>
      <c r="L131" s="163"/>
      <c r="M131" s="148"/>
      <c r="N131" s="163"/>
      <c r="O131" s="148"/>
      <c r="P131" s="163"/>
      <c r="Q131" s="148"/>
      <c r="R131" s="148"/>
      <c r="S131" s="161"/>
      <c r="T131" s="128"/>
      <c r="U131" s="128"/>
      <c r="V131" s="21"/>
      <c r="W131" s="126"/>
    </row>
    <row r="132" ht="22.5" customHeight="1">
      <c r="A132" s="126" t="s">
        <v>377</v>
      </c>
      <c r="B132" s="50" t="s">
        <v>379</v>
      </c>
      <c r="C132" s="169" t="s">
        <v>226</v>
      </c>
      <c r="D132" s="50" t="s">
        <v>380</v>
      </c>
      <c r="E132" s="37" t="s">
        <v>382</v>
      </c>
      <c r="F132" s="161" t="s">
        <v>220</v>
      </c>
      <c r="G132" s="148" t="s">
        <v>653</v>
      </c>
      <c r="H132" s="148"/>
      <c r="I132" s="148" t="s">
        <v>547</v>
      </c>
      <c r="J132" s="162"/>
      <c r="K132" s="162"/>
      <c r="L132" s="163"/>
      <c r="M132" s="148"/>
      <c r="N132" s="163"/>
      <c r="O132" s="148"/>
      <c r="P132" s="163"/>
      <c r="Q132" s="148"/>
      <c r="R132" s="148"/>
      <c r="S132" s="161"/>
      <c r="T132" s="128"/>
      <c r="U132" s="128"/>
      <c r="V132" s="21"/>
      <c r="W132" s="126"/>
    </row>
    <row r="133" ht="22.5" customHeight="1">
      <c r="A133" s="126" t="s">
        <v>377</v>
      </c>
      <c r="B133" s="50" t="s">
        <v>379</v>
      </c>
      <c r="C133" s="169" t="s">
        <v>226</v>
      </c>
      <c r="D133" s="50" t="s">
        <v>380</v>
      </c>
      <c r="E133" s="37" t="s">
        <v>382</v>
      </c>
      <c r="F133" s="161" t="s">
        <v>220</v>
      </c>
      <c r="G133" s="148" t="s">
        <v>657</v>
      </c>
      <c r="H133" s="148"/>
      <c r="I133" s="148" t="s">
        <v>547</v>
      </c>
      <c r="J133" s="162"/>
      <c r="K133" s="162"/>
      <c r="L133" s="163"/>
      <c r="M133" s="148"/>
      <c r="N133" s="163"/>
      <c r="O133" s="148"/>
      <c r="P133" s="163"/>
      <c r="Q133" s="148"/>
      <c r="R133" s="148"/>
      <c r="S133" s="161"/>
      <c r="T133" s="128"/>
      <c r="U133" s="128"/>
      <c r="V133" s="21"/>
      <c r="W133" s="126"/>
    </row>
    <row r="134" ht="22.5" customHeight="1">
      <c r="A134" s="126" t="s">
        <v>377</v>
      </c>
      <c r="B134" s="50" t="s">
        <v>379</v>
      </c>
      <c r="C134" s="169" t="s">
        <v>226</v>
      </c>
      <c r="D134" s="50" t="s">
        <v>380</v>
      </c>
      <c r="E134" s="37" t="s">
        <v>382</v>
      </c>
      <c r="F134" s="161"/>
      <c r="G134" s="148">
        <v>18840.0</v>
      </c>
      <c r="H134" s="148"/>
      <c r="I134" s="148" t="s">
        <v>140</v>
      </c>
      <c r="J134" s="162"/>
      <c r="K134" s="162"/>
      <c r="L134" s="163"/>
      <c r="M134" s="148"/>
      <c r="N134" s="163"/>
      <c r="O134" s="148"/>
      <c r="P134" s="163"/>
      <c r="Q134" s="148"/>
      <c r="R134" s="148"/>
      <c r="S134" s="161"/>
      <c r="T134" s="131"/>
      <c r="U134" s="131"/>
      <c r="V134" s="21"/>
      <c r="W134" s="126"/>
    </row>
    <row r="135" ht="22.5" customHeight="1">
      <c r="A135" s="126" t="s">
        <v>377</v>
      </c>
      <c r="B135" s="50" t="s">
        <v>379</v>
      </c>
      <c r="C135" s="169" t="s">
        <v>226</v>
      </c>
      <c r="D135" s="50" t="s">
        <v>380</v>
      </c>
      <c r="E135" s="37" t="s">
        <v>382</v>
      </c>
      <c r="F135" s="161"/>
      <c r="G135" s="148">
        <v>18918.0</v>
      </c>
      <c r="H135" s="148"/>
      <c r="I135" s="148" t="s">
        <v>140</v>
      </c>
      <c r="J135" s="162"/>
      <c r="K135" s="162"/>
      <c r="L135" s="163"/>
      <c r="M135" s="148"/>
      <c r="N135" s="163"/>
      <c r="O135" s="148"/>
      <c r="P135" s="163"/>
      <c r="Q135" s="148"/>
      <c r="R135" s="148"/>
      <c r="S135" s="161"/>
      <c r="T135" s="131"/>
      <c r="U135" s="131"/>
      <c r="V135" s="21"/>
      <c r="W135" s="126"/>
    </row>
    <row r="136" ht="22.5" customHeight="1">
      <c r="A136" s="126" t="s">
        <v>377</v>
      </c>
      <c r="B136" s="50" t="s">
        <v>379</v>
      </c>
      <c r="C136" s="169" t="s">
        <v>226</v>
      </c>
      <c r="D136" s="50" t="s">
        <v>380</v>
      </c>
      <c r="E136" s="37" t="s">
        <v>382</v>
      </c>
      <c r="F136" s="161"/>
      <c r="G136" s="148">
        <v>19802.0</v>
      </c>
      <c r="H136" s="148"/>
      <c r="I136" s="148" t="s">
        <v>140</v>
      </c>
      <c r="J136" s="162"/>
      <c r="K136" s="162"/>
      <c r="L136" s="163"/>
      <c r="M136" s="148"/>
      <c r="N136" s="163"/>
      <c r="O136" s="148"/>
      <c r="P136" s="163"/>
      <c r="Q136" s="148"/>
      <c r="R136" s="148"/>
      <c r="S136" s="161"/>
      <c r="T136" s="131"/>
      <c r="U136" s="131"/>
      <c r="V136" s="21"/>
      <c r="W136" s="126"/>
    </row>
    <row r="137" ht="22.5" customHeight="1">
      <c r="A137" s="126" t="s">
        <v>377</v>
      </c>
      <c r="B137" s="50" t="s">
        <v>379</v>
      </c>
      <c r="C137" s="169" t="s">
        <v>226</v>
      </c>
      <c r="D137" s="50" t="s">
        <v>380</v>
      </c>
      <c r="E137" s="37" t="s">
        <v>382</v>
      </c>
      <c r="F137" s="161"/>
      <c r="G137" s="148">
        <v>19797.0</v>
      </c>
      <c r="H137" s="148"/>
      <c r="I137" s="148" t="s">
        <v>140</v>
      </c>
      <c r="J137" s="162"/>
      <c r="K137" s="162"/>
      <c r="L137" s="163"/>
      <c r="M137" s="148"/>
      <c r="N137" s="163"/>
      <c r="O137" s="148"/>
      <c r="P137" s="163"/>
      <c r="Q137" s="148"/>
      <c r="R137" s="148"/>
      <c r="S137" s="161"/>
      <c r="T137" s="128"/>
      <c r="U137" s="128"/>
      <c r="V137" s="21"/>
      <c r="W137" s="126"/>
    </row>
    <row r="138" ht="22.5" customHeight="1">
      <c r="A138" s="126" t="s">
        <v>377</v>
      </c>
      <c r="B138" s="50" t="s">
        <v>379</v>
      </c>
      <c r="C138" s="169" t="s">
        <v>226</v>
      </c>
      <c r="D138" s="50" t="s">
        <v>380</v>
      </c>
      <c r="E138" s="37" t="s">
        <v>382</v>
      </c>
      <c r="F138" s="161" t="s">
        <v>632</v>
      </c>
      <c r="G138" s="148" t="s">
        <v>682</v>
      </c>
      <c r="H138" s="148"/>
      <c r="I138" s="148" t="s">
        <v>349</v>
      </c>
      <c r="J138" s="162"/>
      <c r="K138" s="162"/>
      <c r="L138" s="163"/>
      <c r="M138" s="148"/>
      <c r="N138" s="163"/>
      <c r="O138" s="148"/>
      <c r="P138" s="163"/>
      <c r="Q138" s="148"/>
      <c r="R138" s="148"/>
      <c r="S138" s="161"/>
      <c r="T138" s="128"/>
      <c r="U138" s="128"/>
      <c r="V138" s="21"/>
      <c r="W138" s="126"/>
    </row>
    <row r="139" ht="22.5" customHeight="1">
      <c r="A139" s="126" t="s">
        <v>377</v>
      </c>
      <c r="B139" s="50" t="s">
        <v>379</v>
      </c>
      <c r="C139" s="169" t="s">
        <v>226</v>
      </c>
      <c r="D139" s="50" t="s">
        <v>380</v>
      </c>
      <c r="E139" s="37" t="s">
        <v>382</v>
      </c>
      <c r="F139" s="161" t="s">
        <v>220</v>
      </c>
      <c r="G139" s="148" t="s">
        <v>689</v>
      </c>
      <c r="H139" s="148"/>
      <c r="I139" s="148" t="s">
        <v>349</v>
      </c>
      <c r="J139" s="162"/>
      <c r="K139" s="162"/>
      <c r="L139" s="163"/>
      <c r="M139" s="148"/>
      <c r="N139" s="163"/>
      <c r="O139" s="148"/>
      <c r="P139" s="163"/>
      <c r="Q139" s="148"/>
      <c r="R139" s="148"/>
      <c r="S139" s="161"/>
      <c r="T139" s="128"/>
      <c r="U139" s="128"/>
      <c r="V139" s="21"/>
      <c r="W139" s="126"/>
    </row>
    <row r="140" ht="22.5" customHeight="1">
      <c r="A140" s="126" t="s">
        <v>377</v>
      </c>
      <c r="B140" s="50" t="s">
        <v>379</v>
      </c>
      <c r="C140" s="169" t="s">
        <v>226</v>
      </c>
      <c r="D140" s="50" t="s">
        <v>380</v>
      </c>
      <c r="E140" s="37" t="s">
        <v>382</v>
      </c>
      <c r="F140" s="161" t="s">
        <v>632</v>
      </c>
      <c r="G140" s="148" t="s">
        <v>692</v>
      </c>
      <c r="H140" s="148"/>
      <c r="I140" s="148" t="s">
        <v>349</v>
      </c>
      <c r="J140" s="162"/>
      <c r="K140" s="162"/>
      <c r="L140" s="163"/>
      <c r="M140" s="148"/>
      <c r="N140" s="163"/>
      <c r="O140" s="148"/>
      <c r="P140" s="163"/>
      <c r="Q140" s="148"/>
      <c r="R140" s="148"/>
      <c r="S140" s="161"/>
      <c r="T140" s="128"/>
      <c r="U140" s="128"/>
      <c r="V140" s="21"/>
      <c r="W140" s="126"/>
    </row>
    <row r="141" ht="22.5" customHeight="1">
      <c r="A141" s="126" t="s">
        <v>377</v>
      </c>
      <c r="B141" s="50" t="s">
        <v>379</v>
      </c>
      <c r="C141" s="169" t="s">
        <v>226</v>
      </c>
      <c r="D141" s="50" t="s">
        <v>380</v>
      </c>
      <c r="E141" s="37" t="s">
        <v>382</v>
      </c>
      <c r="F141" s="161" t="s">
        <v>632</v>
      </c>
      <c r="G141" s="148">
        <v>18838.0</v>
      </c>
      <c r="H141" s="148"/>
      <c r="I141" s="148" t="s">
        <v>349</v>
      </c>
      <c r="J141" s="162"/>
      <c r="K141" s="162"/>
      <c r="L141" s="163"/>
      <c r="M141" s="148"/>
      <c r="N141" s="163"/>
      <c r="O141" s="148"/>
      <c r="P141" s="163"/>
      <c r="Q141" s="148"/>
      <c r="R141" s="148"/>
      <c r="S141" s="161"/>
      <c r="T141" s="128"/>
      <c r="U141" s="128"/>
      <c r="V141" s="21"/>
      <c r="W141" s="126"/>
    </row>
    <row r="142" ht="22.5" customHeight="1">
      <c r="A142" s="126" t="s">
        <v>377</v>
      </c>
      <c r="B142" s="50" t="s">
        <v>379</v>
      </c>
      <c r="C142" s="169" t="s">
        <v>226</v>
      </c>
      <c r="D142" s="50" t="s">
        <v>380</v>
      </c>
      <c r="E142" s="37" t="s">
        <v>382</v>
      </c>
      <c r="F142" s="161" t="s">
        <v>220</v>
      </c>
      <c r="G142" s="148" t="s">
        <v>694</v>
      </c>
      <c r="H142" s="148"/>
      <c r="I142" s="148" t="s">
        <v>531</v>
      </c>
      <c r="J142" s="162"/>
      <c r="K142" s="162"/>
      <c r="L142" s="163"/>
      <c r="M142" s="148"/>
      <c r="N142" s="163"/>
      <c r="O142" s="148"/>
      <c r="P142" s="163"/>
      <c r="Q142" s="148"/>
      <c r="R142" s="148"/>
      <c r="S142" s="161"/>
      <c r="T142" s="131"/>
      <c r="U142" s="131"/>
      <c r="V142" s="21"/>
      <c r="W142" s="126"/>
    </row>
    <row r="143" ht="22.5" customHeight="1">
      <c r="A143" s="126" t="s">
        <v>377</v>
      </c>
      <c r="B143" s="50" t="s">
        <v>379</v>
      </c>
      <c r="C143" s="169" t="s">
        <v>226</v>
      </c>
      <c r="D143" s="50" t="s">
        <v>380</v>
      </c>
      <c r="E143" s="37" t="s">
        <v>382</v>
      </c>
      <c r="F143" s="161" t="s">
        <v>220</v>
      </c>
      <c r="G143" s="148" t="s">
        <v>698</v>
      </c>
      <c r="H143" s="148"/>
      <c r="I143" s="148" t="s">
        <v>398</v>
      </c>
      <c r="J143" s="162"/>
      <c r="K143" s="162"/>
      <c r="L143" s="163"/>
      <c r="M143" s="148"/>
      <c r="N143" s="163"/>
      <c r="O143" s="148"/>
      <c r="P143" s="163"/>
      <c r="Q143" s="148"/>
      <c r="R143" s="148"/>
      <c r="S143" s="161"/>
      <c r="T143" s="131"/>
      <c r="U143" s="131"/>
      <c r="V143" s="21"/>
      <c r="W143" s="126"/>
    </row>
    <row r="144" ht="22.5" customHeight="1">
      <c r="A144" s="126" t="s">
        <v>377</v>
      </c>
      <c r="B144" s="50" t="s">
        <v>379</v>
      </c>
      <c r="C144" s="169" t="s">
        <v>226</v>
      </c>
      <c r="D144" s="50" t="s">
        <v>380</v>
      </c>
      <c r="E144" s="37" t="s">
        <v>382</v>
      </c>
      <c r="F144" s="161" t="s">
        <v>220</v>
      </c>
      <c r="G144" s="148">
        <v>35810.0</v>
      </c>
      <c r="H144" s="148"/>
      <c r="I144" s="148" t="s">
        <v>398</v>
      </c>
      <c r="J144" s="162"/>
      <c r="K144" s="162">
        <v>46008.0</v>
      </c>
      <c r="L144" s="163"/>
      <c r="M144" s="148"/>
      <c r="N144" s="163"/>
      <c r="O144" s="148" t="s">
        <v>1348</v>
      </c>
      <c r="P144" s="163"/>
      <c r="Q144" s="148"/>
      <c r="R144" s="148"/>
      <c r="S144" s="161"/>
      <c r="T144" s="131"/>
      <c r="U144" s="131"/>
      <c r="V144" s="21"/>
      <c r="W144" s="126"/>
    </row>
    <row r="145" ht="22.5" customHeight="1">
      <c r="A145" s="126" t="s">
        <v>377</v>
      </c>
      <c r="B145" s="50" t="s">
        <v>379</v>
      </c>
      <c r="C145" s="169" t="s">
        <v>226</v>
      </c>
      <c r="D145" s="50" t="s">
        <v>380</v>
      </c>
      <c r="E145" s="37" t="s">
        <v>382</v>
      </c>
      <c r="F145" s="161" t="s">
        <v>220</v>
      </c>
      <c r="G145" s="148" t="s">
        <v>703</v>
      </c>
      <c r="H145" s="148"/>
      <c r="I145" s="148" t="s">
        <v>702</v>
      </c>
      <c r="J145" s="162"/>
      <c r="K145" s="162">
        <v>46009.0</v>
      </c>
      <c r="L145" s="163"/>
      <c r="M145" s="148"/>
      <c r="N145" s="163"/>
      <c r="O145" s="148" t="s">
        <v>1367</v>
      </c>
      <c r="P145" s="163"/>
      <c r="Q145" s="148"/>
      <c r="R145" s="148"/>
      <c r="S145" s="161"/>
      <c r="T145" s="131"/>
      <c r="U145" s="131"/>
      <c r="V145" s="21"/>
      <c r="W145" s="126"/>
    </row>
    <row r="146" ht="22.5" customHeight="1">
      <c r="A146" s="126" t="s">
        <v>377</v>
      </c>
      <c r="B146" s="50" t="s">
        <v>379</v>
      </c>
      <c r="C146" s="169" t="s">
        <v>226</v>
      </c>
      <c r="D146" s="50" t="s">
        <v>380</v>
      </c>
      <c r="E146" s="37" t="s">
        <v>382</v>
      </c>
      <c r="F146" s="161" t="s">
        <v>220</v>
      </c>
      <c r="G146" s="148" t="s">
        <v>706</v>
      </c>
      <c r="H146" s="148"/>
      <c r="I146" s="148" t="s">
        <v>702</v>
      </c>
      <c r="J146" s="162"/>
      <c r="K146" s="162"/>
      <c r="L146" s="163"/>
      <c r="M146" s="148"/>
      <c r="N146" s="163"/>
      <c r="O146" s="148"/>
      <c r="P146" s="163"/>
      <c r="Q146" s="148"/>
      <c r="R146" s="148"/>
      <c r="S146" s="161"/>
      <c r="T146" s="128"/>
      <c r="U146" s="128"/>
      <c r="V146" s="21"/>
      <c r="W146" s="126"/>
    </row>
    <row r="147" ht="22.5" customHeight="1">
      <c r="A147" s="126" t="s">
        <v>377</v>
      </c>
      <c r="B147" s="50" t="s">
        <v>379</v>
      </c>
      <c r="C147" s="169" t="s">
        <v>226</v>
      </c>
      <c r="D147" s="50" t="s">
        <v>380</v>
      </c>
      <c r="E147" s="37" t="s">
        <v>382</v>
      </c>
      <c r="F147" s="161" t="s">
        <v>220</v>
      </c>
      <c r="G147" s="148">
        <v>39611.0</v>
      </c>
      <c r="H147" s="148"/>
      <c r="I147" s="148" t="s">
        <v>702</v>
      </c>
      <c r="J147" s="162"/>
      <c r="K147" s="162">
        <v>45992.0</v>
      </c>
      <c r="L147" s="163"/>
      <c r="M147" s="148"/>
      <c r="N147" s="163"/>
      <c r="O147" s="21" t="s">
        <v>1387</v>
      </c>
      <c r="P147" s="163"/>
      <c r="Q147" s="148"/>
      <c r="R147" s="148"/>
      <c r="S147" s="161"/>
      <c r="T147" s="128"/>
      <c r="U147" s="128"/>
      <c r="V147" s="21"/>
      <c r="W147" s="126"/>
    </row>
    <row r="148" ht="22.5" customHeight="1">
      <c r="A148" s="126" t="s">
        <v>377</v>
      </c>
      <c r="B148" s="50" t="s">
        <v>379</v>
      </c>
      <c r="C148" s="169" t="s">
        <v>226</v>
      </c>
      <c r="D148" s="50" t="s">
        <v>380</v>
      </c>
      <c r="E148" s="37" t="s">
        <v>382</v>
      </c>
      <c r="F148" s="161" t="s">
        <v>220</v>
      </c>
      <c r="G148" s="148" t="s">
        <v>712</v>
      </c>
      <c r="H148" s="148"/>
      <c r="I148" s="148" t="s">
        <v>702</v>
      </c>
      <c r="J148" s="162"/>
      <c r="K148" s="162">
        <v>45992.0</v>
      </c>
      <c r="L148" s="163"/>
      <c r="M148" s="148"/>
      <c r="N148" s="163"/>
      <c r="O148" s="21" t="s">
        <v>1387</v>
      </c>
      <c r="P148" s="163"/>
      <c r="Q148" s="148"/>
      <c r="R148" s="148"/>
      <c r="S148" s="161"/>
      <c r="T148" s="128"/>
      <c r="U148" s="128"/>
      <c r="V148" s="21"/>
      <c r="W148" s="126"/>
    </row>
    <row r="149" ht="22.5" customHeight="1">
      <c r="A149" s="126" t="s">
        <v>377</v>
      </c>
      <c r="B149" s="50" t="s">
        <v>379</v>
      </c>
      <c r="C149" s="169" t="s">
        <v>226</v>
      </c>
      <c r="D149" s="50" t="s">
        <v>380</v>
      </c>
      <c r="E149" s="37" t="s">
        <v>382</v>
      </c>
      <c r="F149" s="161" t="s">
        <v>220</v>
      </c>
      <c r="G149" s="148">
        <v>34321.0</v>
      </c>
      <c r="H149" s="148"/>
      <c r="I149" s="148" t="s">
        <v>383</v>
      </c>
      <c r="J149" s="162"/>
      <c r="K149" s="162"/>
      <c r="L149" s="163"/>
      <c r="M149" s="148"/>
      <c r="N149" s="163"/>
      <c r="O149" s="148"/>
      <c r="P149" s="163"/>
      <c r="Q149" s="148"/>
      <c r="R149" s="148"/>
      <c r="S149" s="161"/>
      <c r="T149" s="128"/>
      <c r="U149" s="128"/>
      <c r="V149" s="21"/>
      <c r="W149" s="126"/>
    </row>
    <row r="150" ht="22.5" customHeight="1">
      <c r="A150" s="126" t="s">
        <v>377</v>
      </c>
      <c r="B150" s="50" t="s">
        <v>379</v>
      </c>
      <c r="C150" s="169" t="s">
        <v>226</v>
      </c>
      <c r="D150" s="50" t="s">
        <v>380</v>
      </c>
      <c r="E150" s="37" t="s">
        <v>382</v>
      </c>
      <c r="F150" s="161" t="s">
        <v>220</v>
      </c>
      <c r="G150" s="148">
        <v>34320.0</v>
      </c>
      <c r="H150" s="148"/>
      <c r="I150" s="148" t="s">
        <v>383</v>
      </c>
      <c r="J150" s="162"/>
      <c r="K150" s="162"/>
      <c r="L150" s="163"/>
      <c r="M150" s="148"/>
      <c r="N150" s="163"/>
      <c r="O150" s="148"/>
      <c r="P150" s="163"/>
      <c r="Q150" s="148"/>
      <c r="R150" s="148"/>
      <c r="S150" s="161"/>
      <c r="T150" s="128"/>
      <c r="U150" s="128"/>
      <c r="V150" s="21"/>
      <c r="W150" s="126"/>
    </row>
    <row r="151" ht="22.5" customHeight="1">
      <c r="A151" s="126" t="s">
        <v>377</v>
      </c>
      <c r="B151" s="50" t="s">
        <v>379</v>
      </c>
      <c r="C151" s="169" t="s">
        <v>226</v>
      </c>
      <c r="D151" s="50" t="s">
        <v>380</v>
      </c>
      <c r="E151" s="37" t="s">
        <v>382</v>
      </c>
      <c r="F151" s="161" t="s">
        <v>220</v>
      </c>
      <c r="G151" s="148" t="s">
        <v>715</v>
      </c>
      <c r="H151" s="148"/>
      <c r="I151" s="148" t="s">
        <v>383</v>
      </c>
      <c r="J151" s="162"/>
      <c r="K151" s="162"/>
      <c r="L151" s="163"/>
      <c r="M151" s="148"/>
      <c r="N151" s="163"/>
      <c r="O151" s="148"/>
      <c r="P151" s="163"/>
      <c r="Q151" s="148"/>
      <c r="R151" s="148"/>
      <c r="S151" s="161"/>
      <c r="T151" s="128"/>
      <c r="U151" s="128"/>
      <c r="V151" s="21"/>
      <c r="W151" s="126"/>
    </row>
    <row r="152" ht="22.5" customHeight="1">
      <c r="A152" s="126" t="s">
        <v>377</v>
      </c>
      <c r="B152" s="50" t="s">
        <v>379</v>
      </c>
      <c r="C152" s="169" t="s">
        <v>226</v>
      </c>
      <c r="D152" s="50" t="s">
        <v>380</v>
      </c>
      <c r="E152" s="37" t="s">
        <v>382</v>
      </c>
      <c r="F152" s="161" t="s">
        <v>220</v>
      </c>
      <c r="G152" s="148" t="s">
        <v>718</v>
      </c>
      <c r="H152" s="148"/>
      <c r="I152" s="148" t="s">
        <v>503</v>
      </c>
      <c r="J152" s="162"/>
      <c r="K152" s="162"/>
      <c r="L152" s="163"/>
      <c r="M152" s="148"/>
      <c r="N152" s="163"/>
      <c r="O152" s="148"/>
      <c r="P152" s="163"/>
      <c r="Q152" s="148"/>
      <c r="R152" s="148"/>
      <c r="S152" s="161"/>
      <c r="T152" s="21"/>
      <c r="U152" s="21"/>
      <c r="V152" s="21"/>
      <c r="W152" s="126"/>
    </row>
    <row r="153" ht="22.5" customHeight="1">
      <c r="A153" s="126" t="s">
        <v>377</v>
      </c>
      <c r="B153" s="50" t="s">
        <v>379</v>
      </c>
      <c r="C153" s="169" t="s">
        <v>226</v>
      </c>
      <c r="D153" s="50" t="s">
        <v>380</v>
      </c>
      <c r="E153" s="37" t="s">
        <v>382</v>
      </c>
      <c r="F153" s="161" t="s">
        <v>220</v>
      </c>
      <c r="G153" s="148" t="s">
        <v>720</v>
      </c>
      <c r="H153" s="148"/>
      <c r="I153" s="148" t="s">
        <v>503</v>
      </c>
      <c r="J153" s="162"/>
      <c r="K153" s="162"/>
      <c r="L153" s="163"/>
      <c r="M153" s="148"/>
      <c r="N153" s="163"/>
      <c r="O153" s="148"/>
      <c r="P153" s="163"/>
      <c r="Q153" s="148"/>
      <c r="R153" s="148"/>
      <c r="S153" s="161"/>
      <c r="T153" s="131"/>
      <c r="U153" s="131"/>
      <c r="V153" s="21"/>
      <c r="W153" s="126"/>
    </row>
    <row r="154" ht="22.5" customHeight="1">
      <c r="A154" s="126" t="s">
        <v>377</v>
      </c>
      <c r="B154" s="50" t="s">
        <v>379</v>
      </c>
      <c r="C154" s="169" t="s">
        <v>226</v>
      </c>
      <c r="D154" s="50" t="s">
        <v>380</v>
      </c>
      <c r="E154" s="37" t="s">
        <v>382</v>
      </c>
      <c r="F154" s="161" t="s">
        <v>632</v>
      </c>
      <c r="G154" s="148" t="s">
        <v>725</v>
      </c>
      <c r="H154" s="148"/>
      <c r="I154" s="148" t="s">
        <v>363</v>
      </c>
      <c r="J154" s="162"/>
      <c r="K154" s="162"/>
      <c r="L154" s="163"/>
      <c r="M154" s="148"/>
      <c r="N154" s="163"/>
      <c r="O154" s="148"/>
      <c r="P154" s="163"/>
      <c r="Q154" s="148"/>
      <c r="R154" s="148"/>
      <c r="S154" s="161"/>
      <c r="T154" s="131"/>
      <c r="U154" s="131"/>
      <c r="V154" s="21"/>
      <c r="W154" s="126"/>
    </row>
    <row r="155" ht="22.5" customHeight="1">
      <c r="A155" s="126" t="s">
        <v>377</v>
      </c>
      <c r="B155" s="50" t="s">
        <v>379</v>
      </c>
      <c r="C155" s="169" t="s">
        <v>226</v>
      </c>
      <c r="D155" s="50" t="s">
        <v>380</v>
      </c>
      <c r="E155" s="37" t="s">
        <v>382</v>
      </c>
      <c r="F155" s="161" t="s">
        <v>220</v>
      </c>
      <c r="G155" s="148" t="s">
        <v>726</v>
      </c>
      <c r="H155" s="148"/>
      <c r="I155" s="148" t="s">
        <v>363</v>
      </c>
      <c r="J155" s="162"/>
      <c r="K155" s="162"/>
      <c r="L155" s="163"/>
      <c r="M155" s="148"/>
      <c r="N155" s="163"/>
      <c r="O155" s="148"/>
      <c r="P155" s="163"/>
      <c r="Q155" s="148"/>
      <c r="R155" s="148"/>
      <c r="S155" s="161"/>
      <c r="T155" s="131"/>
      <c r="U155" s="131"/>
      <c r="V155" s="21"/>
      <c r="W155" s="126"/>
    </row>
    <row r="156" ht="22.5" customHeight="1">
      <c r="A156" s="126" t="s">
        <v>377</v>
      </c>
      <c r="B156" s="50" t="s">
        <v>379</v>
      </c>
      <c r="C156" s="169" t="s">
        <v>226</v>
      </c>
      <c r="D156" s="50" t="s">
        <v>380</v>
      </c>
      <c r="E156" s="37" t="s">
        <v>382</v>
      </c>
      <c r="F156" s="161" t="s">
        <v>632</v>
      </c>
      <c r="G156" s="148" t="s">
        <v>728</v>
      </c>
      <c r="H156" s="148"/>
      <c r="I156" s="148" t="s">
        <v>363</v>
      </c>
      <c r="J156" s="162"/>
      <c r="K156" s="162"/>
      <c r="L156" s="163"/>
      <c r="M156" s="148"/>
      <c r="N156" s="163"/>
      <c r="O156" s="148"/>
      <c r="P156" s="163"/>
      <c r="Q156" s="148"/>
      <c r="R156" s="148"/>
      <c r="S156" s="161"/>
      <c r="T156" s="131"/>
      <c r="U156" s="131"/>
      <c r="V156" s="21"/>
      <c r="W156" s="126"/>
    </row>
    <row r="157" ht="22.5" customHeight="1">
      <c r="A157" s="161" t="s">
        <v>377</v>
      </c>
      <c r="B157" s="134" t="s">
        <v>379</v>
      </c>
      <c r="C157" s="169" t="s">
        <v>1423</v>
      </c>
      <c r="D157" s="134" t="s">
        <v>380</v>
      </c>
      <c r="E157" s="182" t="s">
        <v>95</v>
      </c>
      <c r="F157" s="161" t="s">
        <v>220</v>
      </c>
      <c r="G157" s="21" t="s">
        <v>407</v>
      </c>
      <c r="H157" s="148"/>
      <c r="I157" s="148" t="s">
        <v>177</v>
      </c>
      <c r="J157" s="162" t="s">
        <v>1426</v>
      </c>
      <c r="K157" s="162">
        <v>46105.0</v>
      </c>
      <c r="L157" s="163"/>
      <c r="M157" s="148"/>
      <c r="N157" s="163"/>
      <c r="O157" s="148" t="s">
        <v>1429</v>
      </c>
      <c r="P157" s="163"/>
      <c r="Q157" s="183" t="s">
        <v>1430</v>
      </c>
      <c r="R157" s="183" t="s">
        <v>1431</v>
      </c>
      <c r="S157" s="161" t="s">
        <v>445</v>
      </c>
      <c r="T157" s="168"/>
      <c r="U157" s="168"/>
      <c r="V157" s="148"/>
      <c r="W157" s="126" t="s">
        <v>303</v>
      </c>
    </row>
    <row r="158" ht="22.5" customHeight="1">
      <c r="A158" s="161" t="s">
        <v>377</v>
      </c>
      <c r="B158" s="134" t="s">
        <v>379</v>
      </c>
      <c r="C158" s="169" t="s">
        <v>1433</v>
      </c>
      <c r="D158" s="134" t="s">
        <v>380</v>
      </c>
      <c r="E158" s="182" t="s">
        <v>95</v>
      </c>
      <c r="F158" s="161" t="s">
        <v>220</v>
      </c>
      <c r="G158" s="21" t="s">
        <v>334</v>
      </c>
      <c r="H158" s="148"/>
      <c r="I158" s="148" t="s">
        <v>326</v>
      </c>
      <c r="J158" s="162">
        <v>46169.0</v>
      </c>
      <c r="K158" s="162"/>
      <c r="L158" s="163"/>
      <c r="M158" s="148"/>
      <c r="N158" s="163"/>
      <c r="O158" s="148"/>
      <c r="P158" s="163"/>
      <c r="Q158" s="183" t="s">
        <v>1430</v>
      </c>
      <c r="R158" s="148"/>
      <c r="S158" s="161" t="s">
        <v>445</v>
      </c>
      <c r="T158" s="168"/>
      <c r="U158" s="168"/>
      <c r="V158" s="148"/>
      <c r="W158" s="126" t="s">
        <v>1105</v>
      </c>
    </row>
    <row r="159" ht="22.5" customHeight="1">
      <c r="A159" s="161" t="s">
        <v>377</v>
      </c>
      <c r="B159" s="134" t="s">
        <v>379</v>
      </c>
      <c r="C159" s="169" t="s">
        <v>1436</v>
      </c>
      <c r="D159" s="134" t="s">
        <v>380</v>
      </c>
      <c r="E159" s="182" t="s">
        <v>95</v>
      </c>
      <c r="F159" s="161" t="s">
        <v>220</v>
      </c>
      <c r="G159" s="148" t="s">
        <v>657</v>
      </c>
      <c r="H159" s="148"/>
      <c r="I159" s="148" t="s">
        <v>547</v>
      </c>
      <c r="J159" s="162">
        <v>46169.0</v>
      </c>
      <c r="K159" s="162"/>
      <c r="L159" s="163"/>
      <c r="M159" s="148"/>
      <c r="N159" s="163"/>
      <c r="O159" s="148"/>
      <c r="P159" s="163"/>
      <c r="Q159" s="183" t="s">
        <v>1440</v>
      </c>
      <c r="R159" s="148"/>
      <c r="S159" s="161" t="s">
        <v>445</v>
      </c>
      <c r="T159" s="168"/>
      <c r="U159" s="168"/>
      <c r="V159" s="148"/>
      <c r="W159" s="126" t="s">
        <v>1105</v>
      </c>
    </row>
    <row r="160" ht="22.5" customHeight="1">
      <c r="A160" s="161" t="s">
        <v>377</v>
      </c>
      <c r="B160" s="134" t="s">
        <v>379</v>
      </c>
      <c r="C160" s="169" t="s">
        <v>1445</v>
      </c>
      <c r="D160" s="134" t="s">
        <v>380</v>
      </c>
      <c r="E160" s="182" t="s">
        <v>1447</v>
      </c>
      <c r="F160" s="161" t="s">
        <v>220</v>
      </c>
      <c r="G160" s="148">
        <v>35805.0</v>
      </c>
      <c r="H160" s="148"/>
      <c r="I160" s="148" t="s">
        <v>384</v>
      </c>
      <c r="J160" s="162"/>
      <c r="K160" s="162"/>
      <c r="L160" s="163"/>
      <c r="M160" s="148"/>
      <c r="N160" s="163"/>
      <c r="O160" s="148"/>
      <c r="P160" s="163"/>
      <c r="Q160" s="148"/>
      <c r="R160" s="148"/>
      <c r="S160" s="161" t="s">
        <v>445</v>
      </c>
      <c r="T160" s="168"/>
      <c r="U160" s="168"/>
      <c r="V160" s="148"/>
      <c r="W160" s="126" t="s">
        <v>1105</v>
      </c>
    </row>
    <row r="161" ht="22.5" customHeight="1">
      <c r="A161" s="161" t="s">
        <v>377</v>
      </c>
      <c r="B161" s="134" t="s">
        <v>379</v>
      </c>
      <c r="C161" s="169" t="s">
        <v>1445</v>
      </c>
      <c r="D161" s="134" t="s">
        <v>380</v>
      </c>
      <c r="E161" s="182" t="s">
        <v>1447</v>
      </c>
      <c r="F161" s="161" t="s">
        <v>220</v>
      </c>
      <c r="G161" s="148">
        <v>34340.0</v>
      </c>
      <c r="H161" s="148"/>
      <c r="I161" s="148" t="s">
        <v>384</v>
      </c>
      <c r="J161" s="162"/>
      <c r="K161" s="162"/>
      <c r="L161" s="163"/>
      <c r="M161" s="148"/>
      <c r="N161" s="163"/>
      <c r="O161" s="148"/>
      <c r="P161" s="163"/>
      <c r="Q161" s="148"/>
      <c r="R161" s="148"/>
      <c r="S161" s="161" t="s">
        <v>445</v>
      </c>
      <c r="T161" s="168"/>
      <c r="U161" s="168"/>
      <c r="V161" s="148"/>
      <c r="W161" s="126" t="s">
        <v>1105</v>
      </c>
    </row>
    <row r="162" ht="22.5" customHeight="1">
      <c r="A162" s="161" t="s">
        <v>377</v>
      </c>
      <c r="B162" s="134" t="s">
        <v>379</v>
      </c>
      <c r="C162" s="169" t="s">
        <v>1445</v>
      </c>
      <c r="D162" s="134" t="s">
        <v>380</v>
      </c>
      <c r="E162" s="182" t="s">
        <v>1447</v>
      </c>
      <c r="F162" s="161" t="s">
        <v>220</v>
      </c>
      <c r="G162" s="148">
        <v>39609.0</v>
      </c>
      <c r="H162" s="148"/>
      <c r="I162" s="148" t="s">
        <v>384</v>
      </c>
      <c r="J162" s="162"/>
      <c r="K162" s="162"/>
      <c r="L162" s="163"/>
      <c r="M162" s="148"/>
      <c r="N162" s="163"/>
      <c r="O162" s="148"/>
      <c r="P162" s="163"/>
      <c r="Q162" s="148"/>
      <c r="R162" s="148"/>
      <c r="S162" s="161" t="s">
        <v>445</v>
      </c>
      <c r="T162" s="168"/>
      <c r="U162" s="168"/>
      <c r="V162" s="148"/>
      <c r="W162" s="126" t="s">
        <v>1105</v>
      </c>
    </row>
    <row r="163" ht="22.5" customHeight="1">
      <c r="A163" s="161" t="s">
        <v>377</v>
      </c>
      <c r="B163" s="134" t="s">
        <v>379</v>
      </c>
      <c r="C163" s="169" t="s">
        <v>1445</v>
      </c>
      <c r="D163" s="134" t="s">
        <v>380</v>
      </c>
      <c r="E163" s="182" t="s">
        <v>1447</v>
      </c>
      <c r="F163" s="161" t="s">
        <v>220</v>
      </c>
      <c r="G163" s="148">
        <v>34305.0</v>
      </c>
      <c r="H163" s="148"/>
      <c r="I163" s="148" t="s">
        <v>384</v>
      </c>
      <c r="J163" s="162"/>
      <c r="K163" s="162"/>
      <c r="L163" s="163"/>
      <c r="M163" s="148"/>
      <c r="N163" s="163"/>
      <c r="O163" s="148"/>
      <c r="P163" s="163"/>
      <c r="Q163" s="148"/>
      <c r="R163" s="148"/>
      <c r="S163" s="161" t="s">
        <v>445</v>
      </c>
      <c r="T163" s="168"/>
      <c r="U163" s="168"/>
      <c r="V163" s="148"/>
      <c r="W163" s="126" t="s">
        <v>1105</v>
      </c>
    </row>
    <row r="164" ht="22.5" customHeight="1">
      <c r="A164" s="161" t="s">
        <v>377</v>
      </c>
      <c r="B164" s="134" t="s">
        <v>379</v>
      </c>
      <c r="C164" s="169" t="s">
        <v>1445</v>
      </c>
      <c r="D164" s="134" t="s">
        <v>380</v>
      </c>
      <c r="E164" s="182" t="s">
        <v>1447</v>
      </c>
      <c r="F164" s="161" t="s">
        <v>220</v>
      </c>
      <c r="G164" s="148">
        <v>39557.0</v>
      </c>
      <c r="H164" s="148"/>
      <c r="I164" s="148" t="s">
        <v>384</v>
      </c>
      <c r="J164" s="162"/>
      <c r="K164" s="162"/>
      <c r="L164" s="163"/>
      <c r="M164" s="148"/>
      <c r="N164" s="163"/>
      <c r="O164" s="148"/>
      <c r="P164" s="163"/>
      <c r="Q164" s="148"/>
      <c r="R164" s="148"/>
      <c r="S164" s="161" t="s">
        <v>445</v>
      </c>
      <c r="T164" s="168"/>
      <c r="U164" s="168"/>
      <c r="V164" s="148"/>
      <c r="W164" s="126" t="s">
        <v>1105</v>
      </c>
    </row>
    <row r="165" ht="22.5" customHeight="1">
      <c r="A165" s="161" t="s">
        <v>377</v>
      </c>
      <c r="B165" s="134" t="s">
        <v>379</v>
      </c>
      <c r="C165" s="169" t="s">
        <v>1445</v>
      </c>
      <c r="D165" s="134" t="s">
        <v>380</v>
      </c>
      <c r="E165" s="182" t="s">
        <v>1447</v>
      </c>
      <c r="F165" s="161" t="s">
        <v>220</v>
      </c>
      <c r="G165" s="148">
        <v>39605.0</v>
      </c>
      <c r="H165" s="148"/>
      <c r="I165" s="148" t="s">
        <v>313</v>
      </c>
      <c r="J165" s="162"/>
      <c r="K165" s="162"/>
      <c r="L165" s="163"/>
      <c r="M165" s="148"/>
      <c r="N165" s="163"/>
      <c r="O165" s="148"/>
      <c r="P165" s="163"/>
      <c r="Q165" s="148"/>
      <c r="R165" s="148"/>
      <c r="S165" s="161" t="s">
        <v>445</v>
      </c>
      <c r="T165" s="168"/>
      <c r="U165" s="168"/>
      <c r="V165" s="148"/>
      <c r="W165" s="126" t="s">
        <v>1105</v>
      </c>
    </row>
    <row r="166" ht="22.5" customHeight="1">
      <c r="A166" s="161" t="s">
        <v>377</v>
      </c>
      <c r="B166" s="134" t="s">
        <v>379</v>
      </c>
      <c r="C166" s="169" t="s">
        <v>1445</v>
      </c>
      <c r="D166" s="134" t="s">
        <v>380</v>
      </c>
      <c r="E166" s="182" t="s">
        <v>1447</v>
      </c>
      <c r="F166" s="161" t="s">
        <v>220</v>
      </c>
      <c r="G166" s="148">
        <v>14767.0</v>
      </c>
      <c r="H166" s="148"/>
      <c r="I166" s="148" t="s">
        <v>313</v>
      </c>
      <c r="J166" s="162"/>
      <c r="K166" s="162"/>
      <c r="L166" s="163"/>
      <c r="M166" s="148"/>
      <c r="N166" s="163"/>
      <c r="O166" s="148"/>
      <c r="P166" s="163"/>
      <c r="Q166" s="148"/>
      <c r="R166" s="148"/>
      <c r="S166" s="161" t="s">
        <v>445</v>
      </c>
      <c r="T166" s="168"/>
      <c r="U166" s="168"/>
      <c r="V166" s="148"/>
      <c r="W166" s="126" t="s">
        <v>1105</v>
      </c>
    </row>
    <row r="167" ht="22.5" customHeight="1">
      <c r="A167" s="161" t="s">
        <v>377</v>
      </c>
      <c r="B167" s="134" t="s">
        <v>379</v>
      </c>
      <c r="C167" s="169" t="s">
        <v>1445</v>
      </c>
      <c r="D167" s="134" t="s">
        <v>380</v>
      </c>
      <c r="E167" s="182" t="s">
        <v>1447</v>
      </c>
      <c r="F167" s="161" t="s">
        <v>220</v>
      </c>
      <c r="G167" s="148" t="s">
        <v>693</v>
      </c>
      <c r="H167" s="148"/>
      <c r="I167" s="148" t="s">
        <v>188</v>
      </c>
      <c r="J167" s="162"/>
      <c r="K167" s="162"/>
      <c r="L167" s="163"/>
      <c r="M167" s="148"/>
      <c r="N167" s="163"/>
      <c r="O167" s="148"/>
      <c r="P167" s="163"/>
      <c r="Q167" s="148"/>
      <c r="R167" s="148"/>
      <c r="S167" s="161" t="s">
        <v>445</v>
      </c>
      <c r="T167" s="168"/>
      <c r="U167" s="168"/>
      <c r="V167" s="148"/>
      <c r="W167" s="126" t="s">
        <v>1105</v>
      </c>
    </row>
    <row r="168" ht="22.5" customHeight="1">
      <c r="A168" s="161" t="s">
        <v>377</v>
      </c>
      <c r="B168" s="134" t="s">
        <v>379</v>
      </c>
      <c r="C168" s="169" t="s">
        <v>1445</v>
      </c>
      <c r="D168" s="134" t="s">
        <v>380</v>
      </c>
      <c r="E168" s="182" t="s">
        <v>1447</v>
      </c>
      <c r="F168" s="161" t="s">
        <v>220</v>
      </c>
      <c r="G168" s="148">
        <v>19927.0</v>
      </c>
      <c r="H168" s="148"/>
      <c r="I168" s="148" t="s">
        <v>392</v>
      </c>
      <c r="J168" s="162"/>
      <c r="K168" s="162"/>
      <c r="L168" s="163"/>
      <c r="M168" s="148"/>
      <c r="N168" s="163"/>
      <c r="O168" s="148"/>
      <c r="P168" s="163"/>
      <c r="Q168" s="148"/>
      <c r="R168" s="148"/>
      <c r="S168" s="161" t="s">
        <v>445</v>
      </c>
      <c r="T168" s="168"/>
      <c r="U168" s="168"/>
      <c r="V168" s="148"/>
      <c r="W168" s="126" t="s">
        <v>1105</v>
      </c>
    </row>
    <row r="169" ht="22.5" customHeight="1">
      <c r="A169" s="161" t="s">
        <v>377</v>
      </c>
      <c r="B169" s="134" t="s">
        <v>379</v>
      </c>
      <c r="C169" s="169" t="s">
        <v>1445</v>
      </c>
      <c r="D169" s="134" t="s">
        <v>380</v>
      </c>
      <c r="E169" s="182" t="s">
        <v>1447</v>
      </c>
      <c r="F169" s="161" t="s">
        <v>220</v>
      </c>
      <c r="G169" s="148">
        <v>18908.0</v>
      </c>
      <c r="H169" s="148"/>
      <c r="I169" s="148" t="s">
        <v>98</v>
      </c>
      <c r="J169" s="162"/>
      <c r="K169" s="162"/>
      <c r="L169" s="163"/>
      <c r="M169" s="148"/>
      <c r="N169" s="163"/>
      <c r="O169" s="148"/>
      <c r="P169" s="163"/>
      <c r="Q169" s="148"/>
      <c r="R169" s="148"/>
      <c r="S169" s="161" t="s">
        <v>445</v>
      </c>
      <c r="T169" s="168"/>
      <c r="U169" s="168"/>
      <c r="V169" s="148"/>
      <c r="W169" s="126" t="s">
        <v>1105</v>
      </c>
    </row>
    <row r="170" ht="22.5" customHeight="1">
      <c r="A170" s="161" t="s">
        <v>377</v>
      </c>
      <c r="B170" s="134" t="s">
        <v>379</v>
      </c>
      <c r="C170" s="169" t="s">
        <v>1445</v>
      </c>
      <c r="D170" s="134" t="s">
        <v>380</v>
      </c>
      <c r="E170" s="182" t="s">
        <v>1447</v>
      </c>
      <c r="F170" s="161" t="s">
        <v>220</v>
      </c>
      <c r="G170" s="21">
        <v>34310.0</v>
      </c>
      <c r="H170" s="148"/>
      <c r="I170" s="148" t="s">
        <v>98</v>
      </c>
      <c r="J170" s="162"/>
      <c r="K170" s="162"/>
      <c r="L170" s="163"/>
      <c r="M170" s="148"/>
      <c r="N170" s="163"/>
      <c r="O170" s="148"/>
      <c r="P170" s="163"/>
      <c r="Q170" s="148"/>
      <c r="R170" s="148"/>
      <c r="S170" s="161" t="s">
        <v>445</v>
      </c>
      <c r="T170" s="168"/>
      <c r="U170" s="168"/>
      <c r="V170" s="148"/>
      <c r="W170" s="126" t="s">
        <v>1105</v>
      </c>
    </row>
    <row r="171" ht="22.5" customHeight="1">
      <c r="A171" s="161" t="s">
        <v>377</v>
      </c>
      <c r="B171" s="134" t="s">
        <v>379</v>
      </c>
      <c r="C171" s="169" t="s">
        <v>1445</v>
      </c>
      <c r="D171" s="134" t="s">
        <v>380</v>
      </c>
      <c r="E171" s="182" t="s">
        <v>1447</v>
      </c>
      <c r="F171" s="161" t="s">
        <v>220</v>
      </c>
      <c r="G171" s="148">
        <v>35902.0</v>
      </c>
      <c r="H171" s="148"/>
      <c r="I171" s="148" t="s">
        <v>98</v>
      </c>
      <c r="J171" s="162"/>
      <c r="K171" s="162"/>
      <c r="L171" s="163"/>
      <c r="M171" s="148"/>
      <c r="N171" s="163"/>
      <c r="O171" s="148"/>
      <c r="P171" s="163"/>
      <c r="Q171" s="148"/>
      <c r="R171" s="148"/>
      <c r="S171" s="161" t="s">
        <v>445</v>
      </c>
      <c r="T171" s="168"/>
      <c r="U171" s="168"/>
      <c r="V171" s="148"/>
      <c r="W171" s="126" t="s">
        <v>1105</v>
      </c>
    </row>
    <row r="172" ht="22.5" customHeight="1">
      <c r="A172" s="161" t="s">
        <v>377</v>
      </c>
      <c r="B172" s="134" t="s">
        <v>379</v>
      </c>
      <c r="C172" s="169" t="s">
        <v>1445</v>
      </c>
      <c r="D172" s="134" t="s">
        <v>380</v>
      </c>
      <c r="E172" s="182" t="s">
        <v>1447</v>
      </c>
      <c r="F172" s="161" t="s">
        <v>220</v>
      </c>
      <c r="G172" s="148">
        <v>34306.0</v>
      </c>
      <c r="H172" s="148"/>
      <c r="I172" s="148" t="s">
        <v>187</v>
      </c>
      <c r="J172" s="162"/>
      <c r="K172" s="162"/>
      <c r="L172" s="163"/>
      <c r="M172" s="148"/>
      <c r="N172" s="163"/>
      <c r="O172" s="148"/>
      <c r="P172" s="163"/>
      <c r="Q172" s="148"/>
      <c r="R172" s="148"/>
      <c r="S172" s="161" t="s">
        <v>445</v>
      </c>
      <c r="T172" s="168"/>
      <c r="U172" s="168"/>
      <c r="V172" s="148"/>
      <c r="W172" s="126" t="s">
        <v>1105</v>
      </c>
    </row>
    <row r="173" ht="22.5" customHeight="1">
      <c r="A173" s="161" t="s">
        <v>377</v>
      </c>
      <c r="B173" s="134" t="s">
        <v>379</v>
      </c>
      <c r="C173" s="169" t="s">
        <v>1445</v>
      </c>
      <c r="D173" s="134" t="s">
        <v>380</v>
      </c>
      <c r="E173" s="182" t="s">
        <v>1447</v>
      </c>
      <c r="F173" s="161" t="s">
        <v>220</v>
      </c>
      <c r="G173" s="148" t="s">
        <v>759</v>
      </c>
      <c r="H173" s="148"/>
      <c r="I173" s="148" t="s">
        <v>297</v>
      </c>
      <c r="J173" s="162"/>
      <c r="K173" s="162"/>
      <c r="L173" s="163"/>
      <c r="M173" s="148"/>
      <c r="N173" s="163"/>
      <c r="O173" s="148"/>
      <c r="P173" s="163"/>
      <c r="Q173" s="148"/>
      <c r="R173" s="148"/>
      <c r="S173" s="161" t="s">
        <v>445</v>
      </c>
      <c r="T173" s="168"/>
      <c r="U173" s="168"/>
      <c r="V173" s="148"/>
      <c r="W173" s="126" t="s">
        <v>1105</v>
      </c>
    </row>
    <row r="174" ht="22.5" customHeight="1">
      <c r="A174" s="161" t="s">
        <v>377</v>
      </c>
      <c r="B174" s="134" t="s">
        <v>379</v>
      </c>
      <c r="C174" s="169" t="s">
        <v>1445</v>
      </c>
      <c r="D174" s="134" t="s">
        <v>380</v>
      </c>
      <c r="E174" s="182" t="s">
        <v>1447</v>
      </c>
      <c r="F174" s="161" t="s">
        <v>220</v>
      </c>
      <c r="G174" s="148">
        <v>19886.0</v>
      </c>
      <c r="H174" s="148"/>
      <c r="I174" s="148" t="s">
        <v>436</v>
      </c>
      <c r="J174" s="162"/>
      <c r="K174" s="162"/>
      <c r="L174" s="163"/>
      <c r="M174" s="148"/>
      <c r="N174" s="163"/>
      <c r="O174" s="148"/>
      <c r="P174" s="163"/>
      <c r="Q174" s="148"/>
      <c r="R174" s="148"/>
      <c r="S174" s="161" t="s">
        <v>445</v>
      </c>
      <c r="T174" s="168"/>
      <c r="U174" s="168"/>
      <c r="V174" s="148"/>
      <c r="W174" s="126" t="s">
        <v>1105</v>
      </c>
    </row>
    <row r="175" ht="22.5" customHeight="1">
      <c r="A175" s="161" t="s">
        <v>377</v>
      </c>
      <c r="B175" s="134" t="s">
        <v>379</v>
      </c>
      <c r="C175" s="169" t="s">
        <v>1445</v>
      </c>
      <c r="D175" s="134" t="s">
        <v>380</v>
      </c>
      <c r="E175" s="182" t="s">
        <v>1447</v>
      </c>
      <c r="F175" s="161" t="s">
        <v>632</v>
      </c>
      <c r="G175" s="148">
        <v>18912.0</v>
      </c>
      <c r="H175" s="148"/>
      <c r="I175" s="21" t="s">
        <v>499</v>
      </c>
      <c r="J175" s="162"/>
      <c r="K175" s="162"/>
      <c r="L175" s="163"/>
      <c r="M175" s="148"/>
      <c r="N175" s="163"/>
      <c r="O175" s="148"/>
      <c r="P175" s="163"/>
      <c r="Q175" s="148"/>
      <c r="R175" s="148"/>
      <c r="S175" s="161" t="s">
        <v>445</v>
      </c>
      <c r="T175" s="168"/>
      <c r="U175" s="168"/>
      <c r="V175" s="148"/>
      <c r="W175" s="126" t="s">
        <v>1105</v>
      </c>
    </row>
  </sheetData>
  <mergeCells count="1">
    <mergeCell ref="A1:W4"/>
  </mergeCells>
  <dataValidations>
    <dataValidation type="list" allowBlank="1" sqref="S6:S175">
      <formula1>"MANUTENÇÃO CORRETIVA,MANUTENÇÃO PREVENTIVA"</formula1>
    </dataValidation>
    <dataValidation type="list" allowBlank="1" sqref="F6:F175">
      <formula1>"METTUS HS+,METTUS ASD"</formula1>
    </dataValidation>
    <dataValidation type="list" allowBlank="1" sqref="D6:D175">
      <formula1>"PÓRTICOS"</formula1>
    </dataValidation>
    <dataValidation type="list" allowBlank="1" sqref="B6:B175">
      <formula1>"39601/2025"</formula1>
    </dataValidation>
    <dataValidation type="list" allowBlank="1" sqref="W6:W175">
      <formula1>"CONCLUÍDO,PENDENTE,AGUARDANDO MANUTENÇÃO"</formula1>
    </dataValidation>
    <dataValidation type="list" allowBlank="1" sqref="A6:A175">
      <formula1>"88/2025"</formula1>
    </dataValidation>
    <dataValidation allowBlank="1" showDropDown="1" sqref="C6:C175 E6:E175"/>
  </dataValidations>
  <hyperlinks>
    <hyperlink r:id="rId1" ref="Q157"/>
    <hyperlink r:id="rId2" ref="R157"/>
    <hyperlink r:id="rId3" ref="Q158"/>
    <hyperlink r:id="rId4" ref="Q159"/>
  </hyperlinks>
  <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36.75"/>
    <col customWidth="1" min="6" max="6" width="27.0"/>
    <col customWidth="1" min="7" max="7" width="27.25"/>
    <col customWidth="1" min="8" max="8" width="36.75"/>
    <col customWidth="1" min="9" max="9" width="27.88"/>
    <col customWidth="1" min="10" max="10" width="22.38"/>
    <col customWidth="1" min="11" max="11" width="116.75"/>
    <col customWidth="1" min="12" max="12" width="56.5"/>
    <col customWidth="1" min="13" max="17" width="36.75"/>
    <col customWidth="1" min="18" max="18" width="32.13"/>
    <col customWidth="1" min="19" max="19" width="32.63"/>
    <col customWidth="1" min="20" max="20" width="29.13"/>
    <col customWidth="1" min="21" max="21" width="24.13"/>
    <col customWidth="1" min="22" max="22" width="18.38"/>
    <col customWidth="1" min="23" max="23" width="25.88"/>
  </cols>
  <sheetData>
    <row r="1">
      <c r="A1" s="125" t="s">
        <v>360</v>
      </c>
    </row>
    <row r="4" ht="56.25" customHeight="1"/>
    <row r="5" ht="22.5" customHeight="1">
      <c r="A5" s="140" t="s">
        <v>2</v>
      </c>
      <c r="B5" s="141" t="s">
        <v>259</v>
      </c>
      <c r="C5" s="141" t="s">
        <v>261</v>
      </c>
      <c r="D5" s="141" t="s">
        <v>5</v>
      </c>
      <c r="E5" s="142" t="s">
        <v>262</v>
      </c>
      <c r="F5" s="140" t="s">
        <v>12</v>
      </c>
      <c r="G5" s="140" t="s">
        <v>9</v>
      </c>
      <c r="H5" s="140" t="s">
        <v>8</v>
      </c>
      <c r="I5" s="142" t="s">
        <v>370</v>
      </c>
      <c r="J5" s="140" t="s">
        <v>266</v>
      </c>
      <c r="K5" s="142" t="s">
        <v>669</v>
      </c>
      <c r="L5" s="142" t="s">
        <v>269</v>
      </c>
      <c r="M5" s="140" t="s">
        <v>670</v>
      </c>
      <c r="N5" s="142" t="s">
        <v>671</v>
      </c>
      <c r="O5" s="142" t="s">
        <v>673</v>
      </c>
      <c r="P5" s="140" t="s">
        <v>276</v>
      </c>
      <c r="Q5" s="140" t="s">
        <v>277</v>
      </c>
      <c r="R5" s="142" t="s">
        <v>263</v>
      </c>
      <c r="S5" s="142" t="s">
        <v>376</v>
      </c>
      <c r="T5" s="141" t="s">
        <v>22</v>
      </c>
    </row>
    <row r="6" ht="22.5" customHeight="1">
      <c r="A6" s="143" t="s">
        <v>377</v>
      </c>
      <c r="B6" s="144" t="s">
        <v>379</v>
      </c>
      <c r="C6" s="141" t="s">
        <v>226</v>
      </c>
      <c r="D6" s="144" t="s">
        <v>380</v>
      </c>
      <c r="E6" s="142" t="s">
        <v>382</v>
      </c>
      <c r="F6" s="145" t="s">
        <v>220</v>
      </c>
      <c r="G6" s="140">
        <v>35805.0</v>
      </c>
      <c r="H6" s="140" t="s">
        <v>384</v>
      </c>
      <c r="I6" s="146"/>
      <c r="J6" s="147"/>
      <c r="K6" s="140" t="s">
        <v>408</v>
      </c>
      <c r="L6" s="140"/>
      <c r="M6" s="146"/>
      <c r="N6" s="146"/>
      <c r="O6" s="146"/>
      <c r="P6" s="146"/>
      <c r="Q6" s="146"/>
      <c r="R6" s="145" t="s">
        <v>283</v>
      </c>
      <c r="S6" s="140" t="s">
        <v>685</v>
      </c>
      <c r="T6" s="144" t="s">
        <v>686</v>
      </c>
    </row>
    <row r="7" ht="22.5" customHeight="1">
      <c r="A7" s="143" t="s">
        <v>377</v>
      </c>
      <c r="B7" s="144" t="s">
        <v>379</v>
      </c>
      <c r="C7" s="141" t="s">
        <v>226</v>
      </c>
      <c r="D7" s="144" t="s">
        <v>380</v>
      </c>
      <c r="E7" s="142" t="s">
        <v>382</v>
      </c>
      <c r="F7" s="145" t="s">
        <v>220</v>
      </c>
      <c r="G7" s="140">
        <v>34340.0</v>
      </c>
      <c r="H7" s="140" t="s">
        <v>384</v>
      </c>
      <c r="I7" s="146"/>
      <c r="J7" s="147"/>
      <c r="K7" s="140" t="s">
        <v>408</v>
      </c>
      <c r="L7" s="140"/>
      <c r="M7" s="146"/>
      <c r="N7" s="146"/>
      <c r="O7" s="146"/>
      <c r="P7" s="146"/>
      <c r="Q7" s="146"/>
      <c r="R7" s="145" t="s">
        <v>283</v>
      </c>
      <c r="S7" s="140" t="s">
        <v>685</v>
      </c>
      <c r="T7" s="144" t="s">
        <v>686</v>
      </c>
    </row>
    <row r="8" ht="22.5" customHeight="1">
      <c r="A8" s="143" t="s">
        <v>377</v>
      </c>
      <c r="B8" s="144" t="s">
        <v>379</v>
      </c>
      <c r="C8" s="141" t="s">
        <v>226</v>
      </c>
      <c r="D8" s="144" t="s">
        <v>380</v>
      </c>
      <c r="E8" s="142" t="s">
        <v>382</v>
      </c>
      <c r="F8" s="145" t="s">
        <v>220</v>
      </c>
      <c r="G8" s="140">
        <v>39609.0</v>
      </c>
      <c r="H8" s="140" t="s">
        <v>384</v>
      </c>
      <c r="I8" s="146"/>
      <c r="J8" s="147"/>
      <c r="K8" s="140" t="s">
        <v>408</v>
      </c>
      <c r="L8" s="140"/>
      <c r="M8" s="146"/>
      <c r="N8" s="146"/>
      <c r="O8" s="146"/>
      <c r="P8" s="146"/>
      <c r="Q8" s="146"/>
      <c r="R8" s="145" t="s">
        <v>283</v>
      </c>
      <c r="S8" s="140" t="s">
        <v>685</v>
      </c>
      <c r="T8" s="144" t="s">
        <v>686</v>
      </c>
    </row>
    <row r="9" ht="22.5" customHeight="1">
      <c r="A9" s="143" t="s">
        <v>377</v>
      </c>
      <c r="B9" s="144" t="s">
        <v>379</v>
      </c>
      <c r="C9" s="141" t="s">
        <v>226</v>
      </c>
      <c r="D9" s="144" t="s">
        <v>380</v>
      </c>
      <c r="E9" s="142" t="s">
        <v>382</v>
      </c>
      <c r="F9" s="145" t="s">
        <v>220</v>
      </c>
      <c r="G9" s="140">
        <v>34305.0</v>
      </c>
      <c r="H9" s="140" t="s">
        <v>384</v>
      </c>
      <c r="I9" s="146"/>
      <c r="J9" s="147"/>
      <c r="K9" s="140" t="s">
        <v>714</v>
      </c>
      <c r="L9" s="140"/>
      <c r="M9" s="146"/>
      <c r="N9" s="146"/>
      <c r="O9" s="146"/>
      <c r="P9" s="146"/>
      <c r="Q9" s="146"/>
      <c r="R9" s="145" t="s">
        <v>283</v>
      </c>
      <c r="S9" s="140" t="s">
        <v>685</v>
      </c>
      <c r="T9" s="144" t="s">
        <v>686</v>
      </c>
    </row>
    <row r="10" ht="22.5" customHeight="1">
      <c r="A10" s="143" t="s">
        <v>377</v>
      </c>
      <c r="B10" s="144" t="s">
        <v>379</v>
      </c>
      <c r="C10" s="141" t="s">
        <v>226</v>
      </c>
      <c r="D10" s="144" t="s">
        <v>380</v>
      </c>
      <c r="E10" s="142" t="s">
        <v>382</v>
      </c>
      <c r="F10" s="145" t="s">
        <v>220</v>
      </c>
      <c r="G10" s="140">
        <v>39557.0</v>
      </c>
      <c r="H10" s="140" t="s">
        <v>384</v>
      </c>
      <c r="I10" s="146"/>
      <c r="J10" s="147"/>
      <c r="K10" s="140" t="s">
        <v>719</v>
      </c>
      <c r="L10" s="140"/>
      <c r="M10" s="146"/>
      <c r="N10" s="146"/>
      <c r="O10" s="146"/>
      <c r="P10" s="146"/>
      <c r="Q10" s="146"/>
      <c r="R10" s="145" t="s">
        <v>283</v>
      </c>
      <c r="S10" s="140" t="s">
        <v>685</v>
      </c>
      <c r="T10" s="144" t="s">
        <v>686</v>
      </c>
    </row>
    <row r="11" ht="22.5" customHeight="1">
      <c r="A11" s="143" t="s">
        <v>377</v>
      </c>
      <c r="B11" s="144" t="s">
        <v>379</v>
      </c>
      <c r="C11" s="141" t="s">
        <v>226</v>
      </c>
      <c r="D11" s="144" t="s">
        <v>380</v>
      </c>
      <c r="E11" s="142" t="s">
        <v>382</v>
      </c>
      <c r="F11" s="145" t="s">
        <v>220</v>
      </c>
      <c r="G11" s="140" t="s">
        <v>222</v>
      </c>
      <c r="H11" s="140" t="s">
        <v>217</v>
      </c>
      <c r="I11" s="146"/>
      <c r="J11" s="147"/>
      <c r="K11" s="140" t="s">
        <v>732</v>
      </c>
      <c r="L11" s="146"/>
      <c r="M11" s="146"/>
      <c r="N11" s="146"/>
      <c r="O11" s="146"/>
      <c r="P11" s="146"/>
      <c r="Q11" s="146"/>
      <c r="R11" s="145" t="s">
        <v>283</v>
      </c>
      <c r="S11" s="140" t="s">
        <v>685</v>
      </c>
      <c r="T11" s="144" t="s">
        <v>303</v>
      </c>
    </row>
    <row r="12" ht="22.5" customHeight="1">
      <c r="A12" s="143" t="s">
        <v>377</v>
      </c>
      <c r="B12" s="144" t="s">
        <v>379</v>
      </c>
      <c r="C12" s="141" t="s">
        <v>226</v>
      </c>
      <c r="D12" s="144" t="s">
        <v>380</v>
      </c>
      <c r="E12" s="142" t="s">
        <v>382</v>
      </c>
      <c r="F12" s="145" t="s">
        <v>220</v>
      </c>
      <c r="G12" s="140" t="s">
        <v>237</v>
      </c>
      <c r="H12" s="140" t="s">
        <v>37</v>
      </c>
      <c r="I12" s="146"/>
      <c r="J12" s="147"/>
      <c r="K12" s="140" t="s">
        <v>740</v>
      </c>
      <c r="L12" s="146"/>
      <c r="M12" s="146"/>
      <c r="N12" s="146"/>
      <c r="O12" s="146"/>
      <c r="P12" s="146"/>
      <c r="Q12" s="146"/>
      <c r="R12" s="145" t="s">
        <v>283</v>
      </c>
      <c r="S12" s="140" t="s">
        <v>685</v>
      </c>
      <c r="T12" s="144" t="s">
        <v>303</v>
      </c>
    </row>
    <row r="13" ht="22.5" customHeight="1">
      <c r="A13" s="143" t="s">
        <v>377</v>
      </c>
      <c r="B13" s="144" t="s">
        <v>379</v>
      </c>
      <c r="C13" s="141" t="s">
        <v>226</v>
      </c>
      <c r="D13" s="144" t="s">
        <v>380</v>
      </c>
      <c r="E13" s="142" t="s">
        <v>382</v>
      </c>
      <c r="F13" s="145" t="s">
        <v>220</v>
      </c>
      <c r="G13" s="140" t="s">
        <v>244</v>
      </c>
      <c r="H13" s="140" t="s">
        <v>37</v>
      </c>
      <c r="I13" s="146"/>
      <c r="J13" s="147"/>
      <c r="K13" s="140" t="s">
        <v>756</v>
      </c>
      <c r="L13" s="146"/>
      <c r="M13" s="146"/>
      <c r="N13" s="146"/>
      <c r="O13" s="146"/>
      <c r="P13" s="146"/>
      <c r="Q13" s="146"/>
      <c r="R13" s="145" t="s">
        <v>283</v>
      </c>
      <c r="S13" s="140" t="s">
        <v>685</v>
      </c>
      <c r="T13" s="144" t="s">
        <v>303</v>
      </c>
    </row>
    <row r="14" ht="22.5" customHeight="1">
      <c r="A14" s="143" t="s">
        <v>377</v>
      </c>
      <c r="B14" s="144" t="s">
        <v>379</v>
      </c>
      <c r="C14" s="141" t="s">
        <v>226</v>
      </c>
      <c r="D14" s="144" t="s">
        <v>380</v>
      </c>
      <c r="E14" s="142" t="s">
        <v>382</v>
      </c>
      <c r="F14" s="145" t="s">
        <v>220</v>
      </c>
      <c r="G14" s="140" t="s">
        <v>255</v>
      </c>
      <c r="H14" s="140" t="s">
        <v>70</v>
      </c>
      <c r="I14" s="146"/>
      <c r="J14" s="147"/>
      <c r="K14" s="140" t="s">
        <v>768</v>
      </c>
      <c r="L14" s="146"/>
      <c r="M14" s="146"/>
      <c r="N14" s="146"/>
      <c r="O14" s="146"/>
      <c r="P14" s="146"/>
      <c r="Q14" s="146"/>
      <c r="R14" s="145" t="s">
        <v>283</v>
      </c>
      <c r="S14" s="140" t="s">
        <v>685</v>
      </c>
      <c r="T14" s="144" t="s">
        <v>303</v>
      </c>
    </row>
    <row r="15" ht="22.5" customHeight="1">
      <c r="A15" s="143" t="s">
        <v>377</v>
      </c>
      <c r="B15" s="144" t="s">
        <v>379</v>
      </c>
      <c r="C15" s="150" t="s">
        <v>226</v>
      </c>
      <c r="D15" s="144" t="s">
        <v>380</v>
      </c>
      <c r="E15" s="142" t="s">
        <v>382</v>
      </c>
      <c r="F15" s="145" t="s">
        <v>220</v>
      </c>
      <c r="G15" s="140" t="s">
        <v>272</v>
      </c>
      <c r="H15" s="140" t="s">
        <v>70</v>
      </c>
      <c r="I15" s="146"/>
      <c r="J15" s="147"/>
      <c r="K15" s="140" t="s">
        <v>773</v>
      </c>
      <c r="L15" s="146"/>
      <c r="M15" s="146"/>
      <c r="N15" s="146"/>
      <c r="O15" s="146"/>
      <c r="P15" s="146"/>
      <c r="Q15" s="146"/>
      <c r="R15" s="145" t="s">
        <v>283</v>
      </c>
      <c r="S15" s="140" t="s">
        <v>685</v>
      </c>
      <c r="T15" s="144" t="s">
        <v>303</v>
      </c>
    </row>
    <row r="16" ht="22.5" customHeight="1">
      <c r="A16" s="143" t="s">
        <v>377</v>
      </c>
      <c r="B16" s="144" t="s">
        <v>379</v>
      </c>
      <c r="C16" s="141" t="s">
        <v>226</v>
      </c>
      <c r="D16" s="144" t="s">
        <v>380</v>
      </c>
      <c r="E16" s="142" t="s">
        <v>382</v>
      </c>
      <c r="F16" s="145" t="s">
        <v>220</v>
      </c>
      <c r="G16" s="140" t="s">
        <v>287</v>
      </c>
      <c r="H16" s="140" t="s">
        <v>90</v>
      </c>
      <c r="I16" s="146"/>
      <c r="J16" s="147"/>
      <c r="K16" s="140" t="s">
        <v>784</v>
      </c>
      <c r="L16" s="146"/>
      <c r="M16" s="146"/>
      <c r="N16" s="146"/>
      <c r="O16" s="146"/>
      <c r="P16" s="146"/>
      <c r="Q16" s="146"/>
      <c r="R16" s="145" t="s">
        <v>283</v>
      </c>
      <c r="S16" s="140" t="s">
        <v>685</v>
      </c>
      <c r="T16" s="144" t="s">
        <v>303</v>
      </c>
    </row>
    <row r="17" ht="22.5" customHeight="1">
      <c r="A17" s="143" t="s">
        <v>377</v>
      </c>
      <c r="B17" s="144" t="s">
        <v>379</v>
      </c>
      <c r="C17" s="141" t="s">
        <v>226</v>
      </c>
      <c r="D17" s="144" t="s">
        <v>380</v>
      </c>
      <c r="E17" s="142" t="s">
        <v>382</v>
      </c>
      <c r="F17" s="145" t="s">
        <v>220</v>
      </c>
      <c r="G17" s="140" t="s">
        <v>304</v>
      </c>
      <c r="H17" s="140" t="s">
        <v>168</v>
      </c>
      <c r="I17" s="151"/>
      <c r="J17" s="151"/>
      <c r="K17" s="140" t="s">
        <v>799</v>
      </c>
      <c r="L17" s="146"/>
      <c r="M17" s="146"/>
      <c r="N17" s="146"/>
      <c r="O17" s="146"/>
      <c r="P17" s="146"/>
      <c r="Q17" s="146"/>
      <c r="R17" s="145" t="s">
        <v>283</v>
      </c>
      <c r="S17" s="140" t="s">
        <v>685</v>
      </c>
      <c r="T17" s="144" t="s">
        <v>303</v>
      </c>
    </row>
    <row r="18" ht="22.5" customHeight="1">
      <c r="A18" s="143" t="s">
        <v>377</v>
      </c>
      <c r="B18" s="144" t="s">
        <v>379</v>
      </c>
      <c r="C18" s="141" t="s">
        <v>226</v>
      </c>
      <c r="D18" s="144" t="s">
        <v>380</v>
      </c>
      <c r="E18" s="142" t="s">
        <v>382</v>
      </c>
      <c r="F18" s="145" t="s">
        <v>220</v>
      </c>
      <c r="G18" s="140">
        <v>19721.0</v>
      </c>
      <c r="H18" s="140" t="s">
        <v>309</v>
      </c>
      <c r="I18" s="147"/>
      <c r="J18" s="147"/>
      <c r="K18" s="140" t="s">
        <v>803</v>
      </c>
      <c r="L18" s="140"/>
      <c r="M18" s="146"/>
      <c r="N18" s="146"/>
      <c r="O18" s="146"/>
      <c r="P18" s="146"/>
      <c r="Q18" s="146"/>
      <c r="R18" s="145" t="s">
        <v>283</v>
      </c>
      <c r="S18" s="140" t="s">
        <v>685</v>
      </c>
      <c r="T18" s="144" t="s">
        <v>686</v>
      </c>
    </row>
    <row r="19" ht="22.5" customHeight="1">
      <c r="A19" s="143" t="s">
        <v>377</v>
      </c>
      <c r="B19" s="144" t="s">
        <v>379</v>
      </c>
      <c r="C19" s="141" t="s">
        <v>226</v>
      </c>
      <c r="D19" s="144" t="s">
        <v>380</v>
      </c>
      <c r="E19" s="142" t="s">
        <v>382</v>
      </c>
      <c r="F19" s="145" t="s">
        <v>220</v>
      </c>
      <c r="G19" s="140">
        <v>34334.0</v>
      </c>
      <c r="H19" s="140" t="s">
        <v>309</v>
      </c>
      <c r="I19" s="147"/>
      <c r="J19" s="147"/>
      <c r="K19" s="140" t="s">
        <v>811</v>
      </c>
      <c r="L19" s="146"/>
      <c r="M19" s="146"/>
      <c r="N19" s="146"/>
      <c r="O19" s="146"/>
      <c r="P19" s="146"/>
      <c r="Q19" s="146"/>
      <c r="R19" s="145" t="s">
        <v>283</v>
      </c>
      <c r="S19" s="140" t="s">
        <v>685</v>
      </c>
      <c r="T19" s="144" t="s">
        <v>686</v>
      </c>
    </row>
    <row r="20" ht="22.5" customHeight="1">
      <c r="A20" s="143" t="s">
        <v>377</v>
      </c>
      <c r="B20" s="144" t="s">
        <v>379</v>
      </c>
      <c r="C20" s="141" t="s">
        <v>226</v>
      </c>
      <c r="D20" s="144" t="s">
        <v>380</v>
      </c>
      <c r="E20" s="142" t="s">
        <v>382</v>
      </c>
      <c r="F20" s="145" t="s">
        <v>220</v>
      </c>
      <c r="G20" s="140">
        <v>35793.0</v>
      </c>
      <c r="H20" s="140" t="s">
        <v>309</v>
      </c>
      <c r="I20" s="147"/>
      <c r="J20" s="151"/>
      <c r="K20" s="140" t="s">
        <v>821</v>
      </c>
      <c r="L20" s="146"/>
      <c r="M20" s="146"/>
      <c r="N20" s="146"/>
      <c r="O20" s="146"/>
      <c r="P20" s="146"/>
      <c r="Q20" s="146"/>
      <c r="R20" s="145" t="s">
        <v>283</v>
      </c>
      <c r="S20" s="140" t="s">
        <v>685</v>
      </c>
      <c r="T20" s="144" t="s">
        <v>686</v>
      </c>
    </row>
    <row r="21" ht="22.5" customHeight="1">
      <c r="A21" s="143" t="s">
        <v>377</v>
      </c>
      <c r="B21" s="144" t="s">
        <v>379</v>
      </c>
      <c r="C21" s="141" t="s">
        <v>226</v>
      </c>
      <c r="D21" s="144" t="s">
        <v>380</v>
      </c>
      <c r="E21" s="142" t="s">
        <v>382</v>
      </c>
      <c r="F21" s="145" t="s">
        <v>220</v>
      </c>
      <c r="G21" s="140">
        <v>34335.0</v>
      </c>
      <c r="H21" s="140" t="s">
        <v>309</v>
      </c>
      <c r="I21" s="147"/>
      <c r="J21" s="147"/>
      <c r="K21" s="140" t="s">
        <v>821</v>
      </c>
      <c r="L21" s="146"/>
      <c r="M21" s="146"/>
      <c r="N21" s="146"/>
      <c r="O21" s="146"/>
      <c r="P21" s="146"/>
      <c r="Q21" s="146"/>
      <c r="R21" s="145" t="s">
        <v>283</v>
      </c>
      <c r="S21" s="140" t="s">
        <v>685</v>
      </c>
      <c r="T21" s="144" t="s">
        <v>686</v>
      </c>
    </row>
    <row r="22" ht="22.5" customHeight="1">
      <c r="A22" s="143" t="s">
        <v>377</v>
      </c>
      <c r="B22" s="144" t="s">
        <v>379</v>
      </c>
      <c r="C22" s="141" t="s">
        <v>226</v>
      </c>
      <c r="D22" s="144" t="s">
        <v>380</v>
      </c>
      <c r="E22" s="142" t="s">
        <v>382</v>
      </c>
      <c r="F22" s="145" t="s">
        <v>220</v>
      </c>
      <c r="G22" s="140">
        <v>14766.0</v>
      </c>
      <c r="H22" s="140" t="s">
        <v>309</v>
      </c>
      <c r="I22" s="147"/>
      <c r="J22" s="147"/>
      <c r="K22" s="140" t="s">
        <v>832</v>
      </c>
      <c r="L22" s="146"/>
      <c r="M22" s="146"/>
      <c r="N22" s="146"/>
      <c r="O22" s="146"/>
      <c r="P22" s="146"/>
      <c r="Q22" s="146"/>
      <c r="R22" s="145" t="s">
        <v>283</v>
      </c>
      <c r="S22" s="140" t="s">
        <v>685</v>
      </c>
      <c r="T22" s="144" t="s">
        <v>303</v>
      </c>
    </row>
    <row r="23" ht="22.5" customHeight="1">
      <c r="A23" s="143" t="s">
        <v>377</v>
      </c>
      <c r="B23" s="144" t="s">
        <v>379</v>
      </c>
      <c r="C23" s="141" t="s">
        <v>226</v>
      </c>
      <c r="D23" s="144" t="s">
        <v>380</v>
      </c>
      <c r="E23" s="142" t="s">
        <v>382</v>
      </c>
      <c r="F23" s="145" t="s">
        <v>220</v>
      </c>
      <c r="G23" s="140">
        <v>34347.0</v>
      </c>
      <c r="H23" s="140" t="s">
        <v>313</v>
      </c>
      <c r="I23" s="147"/>
      <c r="J23" s="147"/>
      <c r="K23" s="140" t="s">
        <v>843</v>
      </c>
      <c r="L23" s="140" t="s">
        <v>844</v>
      </c>
      <c r="M23" s="146"/>
      <c r="N23" s="146"/>
      <c r="O23" s="146"/>
      <c r="P23" s="146"/>
      <c r="Q23" s="146"/>
      <c r="R23" s="145" t="s">
        <v>283</v>
      </c>
      <c r="S23" s="140" t="s">
        <v>685</v>
      </c>
      <c r="T23" s="144" t="s">
        <v>303</v>
      </c>
    </row>
    <row r="24" ht="22.5" customHeight="1">
      <c r="A24" s="143" t="s">
        <v>377</v>
      </c>
      <c r="B24" s="144" t="s">
        <v>379</v>
      </c>
      <c r="C24" s="141" t="s">
        <v>226</v>
      </c>
      <c r="D24" s="144" t="s">
        <v>380</v>
      </c>
      <c r="E24" s="142" t="s">
        <v>382</v>
      </c>
      <c r="F24" s="145" t="s">
        <v>220</v>
      </c>
      <c r="G24" s="140">
        <v>39604.0</v>
      </c>
      <c r="H24" s="140" t="s">
        <v>313</v>
      </c>
      <c r="I24" s="147"/>
      <c r="J24" s="147"/>
      <c r="K24" s="140" t="s">
        <v>848</v>
      </c>
      <c r="L24" s="146"/>
      <c r="M24" s="146"/>
      <c r="N24" s="146"/>
      <c r="O24" s="146"/>
      <c r="P24" s="146"/>
      <c r="Q24" s="146"/>
      <c r="R24" s="145" t="s">
        <v>283</v>
      </c>
      <c r="S24" s="140" t="s">
        <v>685</v>
      </c>
      <c r="T24" s="144" t="s">
        <v>303</v>
      </c>
    </row>
    <row r="25" ht="22.5" customHeight="1">
      <c r="A25" s="143" t="s">
        <v>377</v>
      </c>
      <c r="B25" s="144" t="s">
        <v>379</v>
      </c>
      <c r="C25" s="141" t="s">
        <v>226</v>
      </c>
      <c r="D25" s="144" t="s">
        <v>380</v>
      </c>
      <c r="E25" s="142" t="s">
        <v>382</v>
      </c>
      <c r="F25" s="145" t="s">
        <v>220</v>
      </c>
      <c r="G25" s="140">
        <v>34346.0</v>
      </c>
      <c r="H25" s="140" t="s">
        <v>313</v>
      </c>
      <c r="I25" s="147"/>
      <c r="J25" s="147"/>
      <c r="K25" s="140" t="s">
        <v>855</v>
      </c>
      <c r="L25" s="146"/>
      <c r="M25" s="146"/>
      <c r="N25" s="146"/>
      <c r="O25" s="146"/>
      <c r="P25" s="146"/>
      <c r="Q25" s="146"/>
      <c r="R25" s="145" t="s">
        <v>283</v>
      </c>
      <c r="S25" s="140" t="s">
        <v>685</v>
      </c>
      <c r="T25" s="144" t="s">
        <v>686</v>
      </c>
    </row>
    <row r="26" ht="22.5" customHeight="1">
      <c r="A26" s="143" t="s">
        <v>377</v>
      </c>
      <c r="B26" s="144" t="s">
        <v>379</v>
      </c>
      <c r="C26" s="141" t="s">
        <v>226</v>
      </c>
      <c r="D26" s="144" t="s">
        <v>380</v>
      </c>
      <c r="E26" s="142" t="s">
        <v>382</v>
      </c>
      <c r="F26" s="145" t="s">
        <v>220</v>
      </c>
      <c r="G26" s="140">
        <v>39605.0</v>
      </c>
      <c r="H26" s="140" t="s">
        <v>313</v>
      </c>
      <c r="I26" s="147"/>
      <c r="J26" s="147"/>
      <c r="K26" s="146"/>
      <c r="L26" s="146"/>
      <c r="M26" s="146"/>
      <c r="N26" s="146"/>
      <c r="O26" s="146"/>
      <c r="P26" s="146"/>
      <c r="Q26" s="146"/>
      <c r="R26" s="145" t="s">
        <v>283</v>
      </c>
      <c r="S26" s="140" t="s">
        <v>685</v>
      </c>
      <c r="T26" s="144" t="s">
        <v>686</v>
      </c>
    </row>
    <row r="27" ht="22.5" customHeight="1">
      <c r="A27" s="143" t="s">
        <v>377</v>
      </c>
      <c r="B27" s="144" t="s">
        <v>379</v>
      </c>
      <c r="C27" s="141" t="s">
        <v>226</v>
      </c>
      <c r="D27" s="144" t="s">
        <v>380</v>
      </c>
      <c r="E27" s="142" t="s">
        <v>382</v>
      </c>
      <c r="F27" s="145" t="s">
        <v>220</v>
      </c>
      <c r="G27" s="140">
        <v>34345.0</v>
      </c>
      <c r="H27" s="140" t="s">
        <v>313</v>
      </c>
      <c r="I27" s="147"/>
      <c r="J27" s="147"/>
      <c r="K27" s="140" t="s">
        <v>860</v>
      </c>
      <c r="L27" s="146"/>
      <c r="M27" s="146"/>
      <c r="N27" s="146"/>
      <c r="O27" s="146"/>
      <c r="P27" s="146"/>
      <c r="Q27" s="146"/>
      <c r="R27" s="145" t="s">
        <v>283</v>
      </c>
      <c r="S27" s="140" t="s">
        <v>685</v>
      </c>
      <c r="T27" s="144" t="s">
        <v>686</v>
      </c>
    </row>
    <row r="28" ht="22.5" customHeight="1">
      <c r="A28" s="143" t="s">
        <v>377</v>
      </c>
      <c r="B28" s="144" t="s">
        <v>379</v>
      </c>
      <c r="C28" s="141" t="s">
        <v>226</v>
      </c>
      <c r="D28" s="144" t="s">
        <v>380</v>
      </c>
      <c r="E28" s="142" t="s">
        <v>382</v>
      </c>
      <c r="F28" s="145" t="s">
        <v>220</v>
      </c>
      <c r="G28" s="140">
        <v>14767.0</v>
      </c>
      <c r="H28" s="140" t="s">
        <v>313</v>
      </c>
      <c r="I28" s="147"/>
      <c r="J28" s="147"/>
      <c r="K28" s="140" t="s">
        <v>863</v>
      </c>
      <c r="L28" s="146"/>
      <c r="M28" s="146"/>
      <c r="N28" s="146"/>
      <c r="O28" s="146"/>
      <c r="P28" s="146"/>
      <c r="Q28" s="146"/>
      <c r="R28" s="145" t="s">
        <v>283</v>
      </c>
      <c r="S28" s="140" t="s">
        <v>685</v>
      </c>
      <c r="T28" s="144" t="s">
        <v>686</v>
      </c>
    </row>
    <row r="29" ht="22.5" customHeight="1">
      <c r="A29" s="143" t="s">
        <v>377</v>
      </c>
      <c r="B29" s="144" t="s">
        <v>379</v>
      </c>
      <c r="C29" s="141" t="s">
        <v>226</v>
      </c>
      <c r="D29" s="144" t="s">
        <v>380</v>
      </c>
      <c r="E29" s="142" t="s">
        <v>382</v>
      </c>
      <c r="F29" s="145" t="s">
        <v>220</v>
      </c>
      <c r="G29" s="140">
        <v>14768.0</v>
      </c>
      <c r="H29" s="140" t="s">
        <v>313</v>
      </c>
      <c r="I29" s="147"/>
      <c r="J29" s="147"/>
      <c r="K29" s="140" t="s">
        <v>855</v>
      </c>
      <c r="L29" s="146"/>
      <c r="M29" s="146"/>
      <c r="N29" s="146"/>
      <c r="O29" s="146"/>
      <c r="P29" s="146"/>
      <c r="Q29" s="146"/>
      <c r="R29" s="145" t="s">
        <v>283</v>
      </c>
      <c r="S29" s="140" t="s">
        <v>685</v>
      </c>
      <c r="T29" s="144" t="s">
        <v>686</v>
      </c>
    </row>
    <row r="30" ht="22.5" customHeight="1">
      <c r="A30" s="143" t="s">
        <v>377</v>
      </c>
      <c r="B30" s="144" t="s">
        <v>379</v>
      </c>
      <c r="C30" s="141" t="s">
        <v>226</v>
      </c>
      <c r="D30" s="144" t="s">
        <v>380</v>
      </c>
      <c r="E30" s="142" t="s">
        <v>382</v>
      </c>
      <c r="F30" s="145" t="s">
        <v>220</v>
      </c>
      <c r="G30" s="140" t="s">
        <v>320</v>
      </c>
      <c r="H30" s="140" t="s">
        <v>319</v>
      </c>
      <c r="I30" s="147"/>
      <c r="J30" s="147"/>
      <c r="K30" s="140" t="s">
        <v>882</v>
      </c>
      <c r="L30" s="146"/>
      <c r="M30" s="146"/>
      <c r="N30" s="146"/>
      <c r="O30" s="146"/>
      <c r="P30" s="146"/>
      <c r="Q30" s="146"/>
      <c r="R30" s="145" t="s">
        <v>283</v>
      </c>
      <c r="S30" s="140" t="s">
        <v>685</v>
      </c>
      <c r="T30" s="144" t="s">
        <v>303</v>
      </c>
    </row>
    <row r="31" ht="22.5" customHeight="1">
      <c r="A31" s="143" t="s">
        <v>377</v>
      </c>
      <c r="B31" s="144" t="s">
        <v>379</v>
      </c>
      <c r="C31" s="141" t="s">
        <v>226</v>
      </c>
      <c r="D31" s="144" t="s">
        <v>380</v>
      </c>
      <c r="E31" s="142" t="s">
        <v>382</v>
      </c>
      <c r="F31" s="145" t="s">
        <v>220</v>
      </c>
      <c r="G31" s="140" t="s">
        <v>323</v>
      </c>
      <c r="H31" s="140" t="s">
        <v>319</v>
      </c>
      <c r="I31" s="147"/>
      <c r="J31" s="147"/>
      <c r="K31" s="140" t="s">
        <v>897</v>
      </c>
      <c r="L31" s="146"/>
      <c r="M31" s="146"/>
      <c r="N31" s="146"/>
      <c r="O31" s="146"/>
      <c r="P31" s="146"/>
      <c r="Q31" s="146"/>
      <c r="R31" s="145" t="s">
        <v>283</v>
      </c>
      <c r="S31" s="140" t="s">
        <v>685</v>
      </c>
      <c r="T31" s="144" t="s">
        <v>303</v>
      </c>
    </row>
    <row r="32" ht="22.5" customHeight="1">
      <c r="A32" s="143" t="s">
        <v>377</v>
      </c>
      <c r="B32" s="144" t="s">
        <v>379</v>
      </c>
      <c r="C32" s="141" t="s">
        <v>226</v>
      </c>
      <c r="D32" s="144" t="s">
        <v>380</v>
      </c>
      <c r="E32" s="142" t="s">
        <v>382</v>
      </c>
      <c r="F32" s="145" t="s">
        <v>220</v>
      </c>
      <c r="G32" s="140" t="s">
        <v>606</v>
      </c>
      <c r="H32" s="140" t="s">
        <v>319</v>
      </c>
      <c r="I32" s="147"/>
      <c r="J32" s="147"/>
      <c r="K32" s="140" t="s">
        <v>911</v>
      </c>
      <c r="L32" s="146"/>
      <c r="M32" s="146"/>
      <c r="N32" s="146"/>
      <c r="O32" s="146"/>
      <c r="P32" s="146"/>
      <c r="Q32" s="146"/>
      <c r="R32" s="145" t="s">
        <v>283</v>
      </c>
      <c r="S32" s="140" t="s">
        <v>685</v>
      </c>
      <c r="T32" s="144" t="s">
        <v>303</v>
      </c>
    </row>
    <row r="33" ht="22.5" customHeight="1">
      <c r="A33" s="143" t="s">
        <v>377</v>
      </c>
      <c r="B33" s="144" t="s">
        <v>379</v>
      </c>
      <c r="C33" s="141" t="s">
        <v>226</v>
      </c>
      <c r="D33" s="144" t="s">
        <v>380</v>
      </c>
      <c r="E33" s="142" t="s">
        <v>382</v>
      </c>
      <c r="F33" s="145" t="s">
        <v>220</v>
      </c>
      <c r="G33" s="140" t="s">
        <v>327</v>
      </c>
      <c r="H33" s="140" t="s">
        <v>326</v>
      </c>
      <c r="I33" s="147"/>
      <c r="J33" s="147"/>
      <c r="K33" s="140" t="s">
        <v>926</v>
      </c>
      <c r="L33" s="140"/>
      <c r="M33" s="140"/>
      <c r="N33" s="146"/>
      <c r="O33" s="146"/>
      <c r="P33" s="146"/>
      <c r="Q33" s="146"/>
      <c r="R33" s="145" t="s">
        <v>283</v>
      </c>
      <c r="S33" s="140" t="s">
        <v>685</v>
      </c>
      <c r="T33" s="144" t="s">
        <v>303</v>
      </c>
    </row>
    <row r="34" ht="22.5" customHeight="1">
      <c r="A34" s="143" t="s">
        <v>377</v>
      </c>
      <c r="B34" s="144" t="s">
        <v>379</v>
      </c>
      <c r="C34" s="141" t="s">
        <v>226</v>
      </c>
      <c r="D34" s="144" t="s">
        <v>380</v>
      </c>
      <c r="E34" s="142" t="s">
        <v>382</v>
      </c>
      <c r="F34" s="145" t="s">
        <v>220</v>
      </c>
      <c r="G34" s="140" t="s">
        <v>334</v>
      </c>
      <c r="H34" s="140" t="s">
        <v>326</v>
      </c>
      <c r="I34" s="147"/>
      <c r="J34" s="151"/>
      <c r="K34" s="140" t="s">
        <v>943</v>
      </c>
      <c r="L34" s="146"/>
      <c r="M34" s="146"/>
      <c r="N34" s="146"/>
      <c r="O34" s="146"/>
      <c r="P34" s="146"/>
      <c r="Q34" s="146"/>
      <c r="R34" s="145" t="s">
        <v>283</v>
      </c>
      <c r="S34" s="140" t="s">
        <v>685</v>
      </c>
      <c r="T34" s="144" t="s">
        <v>303</v>
      </c>
    </row>
    <row r="35" ht="22.5" customHeight="1">
      <c r="A35" s="143" t="s">
        <v>377</v>
      </c>
      <c r="B35" s="144" t="s">
        <v>379</v>
      </c>
      <c r="C35" s="141" t="s">
        <v>226</v>
      </c>
      <c r="D35" s="144" t="s">
        <v>380</v>
      </c>
      <c r="E35" s="142" t="s">
        <v>382</v>
      </c>
      <c r="F35" s="145" t="s">
        <v>220</v>
      </c>
      <c r="G35" s="140" t="s">
        <v>339</v>
      </c>
      <c r="H35" s="140" t="s">
        <v>326</v>
      </c>
      <c r="I35" s="151"/>
      <c r="J35" s="151"/>
      <c r="K35" s="140" t="s">
        <v>799</v>
      </c>
      <c r="L35" s="146"/>
      <c r="M35" s="146"/>
      <c r="N35" s="146"/>
      <c r="O35" s="146"/>
      <c r="P35" s="146"/>
      <c r="Q35" s="146"/>
      <c r="R35" s="145" t="s">
        <v>283</v>
      </c>
      <c r="S35" s="140" t="s">
        <v>685</v>
      </c>
      <c r="T35" s="144" t="s">
        <v>303</v>
      </c>
    </row>
    <row r="36" ht="22.5" customHeight="1">
      <c r="A36" s="143" t="s">
        <v>377</v>
      </c>
      <c r="B36" s="144" t="s">
        <v>379</v>
      </c>
      <c r="C36" s="141" t="s">
        <v>226</v>
      </c>
      <c r="D36" s="144" t="s">
        <v>380</v>
      </c>
      <c r="E36" s="142" t="s">
        <v>382</v>
      </c>
      <c r="F36" s="145" t="s">
        <v>220</v>
      </c>
      <c r="G36" s="140" t="s">
        <v>342</v>
      </c>
      <c r="H36" s="140" t="s">
        <v>326</v>
      </c>
      <c r="I36" s="147"/>
      <c r="J36" s="147"/>
      <c r="K36" s="140" t="s">
        <v>799</v>
      </c>
      <c r="L36" s="146"/>
      <c r="M36" s="146"/>
      <c r="N36" s="146"/>
      <c r="O36" s="146"/>
      <c r="P36" s="146"/>
      <c r="Q36" s="146"/>
      <c r="R36" s="145" t="s">
        <v>283</v>
      </c>
      <c r="S36" s="140" t="s">
        <v>685</v>
      </c>
      <c r="T36" s="144" t="s">
        <v>303</v>
      </c>
    </row>
    <row r="37" ht="22.5" customHeight="1">
      <c r="A37" s="143" t="s">
        <v>377</v>
      </c>
      <c r="B37" s="144" t="s">
        <v>379</v>
      </c>
      <c r="C37" s="141" t="s">
        <v>226</v>
      </c>
      <c r="D37" s="144" t="s">
        <v>380</v>
      </c>
      <c r="E37" s="142" t="s">
        <v>382</v>
      </c>
      <c r="F37" s="145" t="s">
        <v>220</v>
      </c>
      <c r="G37" s="140">
        <v>34341.0</v>
      </c>
      <c r="H37" s="140" t="s">
        <v>345</v>
      </c>
      <c r="I37" s="147"/>
      <c r="J37" s="147"/>
      <c r="K37" s="140" t="s">
        <v>978</v>
      </c>
      <c r="L37" s="146"/>
      <c r="M37" s="146"/>
      <c r="N37" s="146"/>
      <c r="O37" s="146"/>
      <c r="P37" s="146"/>
      <c r="Q37" s="146"/>
      <c r="R37" s="145" t="s">
        <v>283</v>
      </c>
      <c r="S37" s="140" t="s">
        <v>685</v>
      </c>
      <c r="T37" s="144" t="s">
        <v>686</v>
      </c>
    </row>
    <row r="38" ht="22.5" customHeight="1">
      <c r="A38" s="143" t="s">
        <v>377</v>
      </c>
      <c r="B38" s="144" t="s">
        <v>379</v>
      </c>
      <c r="C38" s="141" t="s">
        <v>226</v>
      </c>
      <c r="D38" s="144" t="s">
        <v>380</v>
      </c>
      <c r="E38" s="142" t="s">
        <v>382</v>
      </c>
      <c r="F38" s="145" t="s">
        <v>220</v>
      </c>
      <c r="G38" s="140" t="s">
        <v>347</v>
      </c>
      <c r="H38" s="140" t="s">
        <v>345</v>
      </c>
      <c r="I38" s="151"/>
      <c r="J38" s="151"/>
      <c r="K38" s="140" t="s">
        <v>989</v>
      </c>
      <c r="L38" s="146"/>
      <c r="M38" s="146"/>
      <c r="N38" s="146"/>
      <c r="O38" s="146"/>
      <c r="P38" s="146"/>
      <c r="Q38" s="146"/>
      <c r="R38" s="145" t="s">
        <v>283</v>
      </c>
      <c r="S38" s="140" t="s">
        <v>685</v>
      </c>
      <c r="T38" s="144" t="s">
        <v>303</v>
      </c>
    </row>
    <row r="39" ht="22.5" customHeight="1">
      <c r="A39" s="143" t="s">
        <v>377</v>
      </c>
      <c r="B39" s="144" t="s">
        <v>379</v>
      </c>
      <c r="C39" s="141" t="s">
        <v>226</v>
      </c>
      <c r="D39" s="144" t="s">
        <v>380</v>
      </c>
      <c r="E39" s="142" t="s">
        <v>382</v>
      </c>
      <c r="F39" s="145" t="s">
        <v>220</v>
      </c>
      <c r="G39" s="140" t="s">
        <v>351</v>
      </c>
      <c r="H39" s="140" t="s">
        <v>188</v>
      </c>
      <c r="I39" s="151"/>
      <c r="J39" s="151"/>
      <c r="K39" s="140" t="s">
        <v>943</v>
      </c>
      <c r="L39" s="146"/>
      <c r="M39" s="146"/>
      <c r="N39" s="146"/>
      <c r="O39" s="146"/>
      <c r="P39" s="146"/>
      <c r="Q39" s="146"/>
      <c r="R39" s="145" t="s">
        <v>283</v>
      </c>
      <c r="S39" s="140" t="s">
        <v>685</v>
      </c>
      <c r="T39" s="144" t="s">
        <v>303</v>
      </c>
    </row>
    <row r="40" ht="22.5" customHeight="1">
      <c r="A40" s="143" t="s">
        <v>377</v>
      </c>
      <c r="B40" s="144" t="s">
        <v>379</v>
      </c>
      <c r="C40" s="141" t="s">
        <v>226</v>
      </c>
      <c r="D40" s="144" t="s">
        <v>380</v>
      </c>
      <c r="E40" s="142" t="s">
        <v>382</v>
      </c>
      <c r="F40" s="145" t="s">
        <v>220</v>
      </c>
      <c r="G40" s="140" t="s">
        <v>355</v>
      </c>
      <c r="H40" s="140" t="s">
        <v>188</v>
      </c>
      <c r="I40" s="151"/>
      <c r="J40" s="151"/>
      <c r="K40" s="140" t="s">
        <v>1007</v>
      </c>
      <c r="L40" s="146"/>
      <c r="M40" s="146"/>
      <c r="N40" s="146"/>
      <c r="O40" s="146"/>
      <c r="P40" s="146"/>
      <c r="Q40" s="146"/>
      <c r="R40" s="145" t="s">
        <v>283</v>
      </c>
      <c r="S40" s="140" t="s">
        <v>685</v>
      </c>
      <c r="T40" s="144" t="s">
        <v>303</v>
      </c>
    </row>
    <row r="41" ht="22.5" customHeight="1">
      <c r="A41" s="143" t="s">
        <v>377</v>
      </c>
      <c r="B41" s="144" t="s">
        <v>379</v>
      </c>
      <c r="C41" s="141" t="s">
        <v>226</v>
      </c>
      <c r="D41" s="144" t="s">
        <v>380</v>
      </c>
      <c r="E41" s="142" t="s">
        <v>382</v>
      </c>
      <c r="F41" s="145" t="s">
        <v>220</v>
      </c>
      <c r="G41" s="140" t="s">
        <v>359</v>
      </c>
      <c r="H41" s="140" t="s">
        <v>188</v>
      </c>
      <c r="I41" s="151"/>
      <c r="J41" s="151"/>
      <c r="K41" s="140" t="s">
        <v>1013</v>
      </c>
      <c r="L41" s="146"/>
      <c r="M41" s="146"/>
      <c r="N41" s="146"/>
      <c r="O41" s="146"/>
      <c r="P41" s="146"/>
      <c r="Q41" s="146"/>
      <c r="R41" s="145" t="s">
        <v>283</v>
      </c>
      <c r="S41" s="140" t="s">
        <v>685</v>
      </c>
      <c r="T41" s="144" t="s">
        <v>303</v>
      </c>
    </row>
    <row r="42" ht="22.5" customHeight="1">
      <c r="A42" s="143" t="s">
        <v>377</v>
      </c>
      <c r="B42" s="144" t="s">
        <v>379</v>
      </c>
      <c r="C42" s="141" t="s">
        <v>226</v>
      </c>
      <c r="D42" s="144" t="s">
        <v>380</v>
      </c>
      <c r="E42" s="142" t="s">
        <v>382</v>
      </c>
      <c r="F42" s="145" t="s">
        <v>220</v>
      </c>
      <c r="G42" s="140" t="s">
        <v>362</v>
      </c>
      <c r="H42" s="140" t="s">
        <v>188</v>
      </c>
      <c r="I42" s="151"/>
      <c r="J42" s="151"/>
      <c r="K42" s="140" t="s">
        <v>1021</v>
      </c>
      <c r="L42" s="146"/>
      <c r="M42" s="146"/>
      <c r="N42" s="146"/>
      <c r="O42" s="146"/>
      <c r="P42" s="146"/>
      <c r="Q42" s="146"/>
      <c r="R42" s="145" t="s">
        <v>283</v>
      </c>
      <c r="S42" s="140" t="s">
        <v>685</v>
      </c>
      <c r="T42" s="144" t="s">
        <v>303</v>
      </c>
    </row>
    <row r="43" ht="22.5" customHeight="1">
      <c r="A43" s="143" t="s">
        <v>377</v>
      </c>
      <c r="B43" s="144" t="s">
        <v>379</v>
      </c>
      <c r="C43" s="141" t="s">
        <v>226</v>
      </c>
      <c r="D43" s="144" t="s">
        <v>380</v>
      </c>
      <c r="E43" s="142" t="s">
        <v>382</v>
      </c>
      <c r="F43" s="145" t="s">
        <v>220</v>
      </c>
      <c r="G43" s="140" t="s">
        <v>693</v>
      </c>
      <c r="H43" s="140" t="s">
        <v>188</v>
      </c>
      <c r="I43" s="151"/>
      <c r="J43" s="147"/>
      <c r="K43" s="140" t="s">
        <v>1031</v>
      </c>
      <c r="L43" s="146"/>
      <c r="M43" s="146"/>
      <c r="N43" s="146"/>
      <c r="O43" s="146"/>
      <c r="P43" s="146"/>
      <c r="Q43" s="146"/>
      <c r="R43" s="145" t="s">
        <v>283</v>
      </c>
      <c r="S43" s="140" t="s">
        <v>685</v>
      </c>
      <c r="T43" s="144" t="s">
        <v>686</v>
      </c>
    </row>
    <row r="44" ht="22.5" customHeight="1">
      <c r="A44" s="143" t="s">
        <v>377</v>
      </c>
      <c r="B44" s="144" t="s">
        <v>379</v>
      </c>
      <c r="C44" s="141" t="s">
        <v>226</v>
      </c>
      <c r="D44" s="144" t="s">
        <v>380</v>
      </c>
      <c r="E44" s="142" t="s">
        <v>382</v>
      </c>
      <c r="F44" s="145" t="s">
        <v>220</v>
      </c>
      <c r="G44" s="140" t="s">
        <v>367</v>
      </c>
      <c r="H44" s="140" t="s">
        <v>365</v>
      </c>
      <c r="I44" s="151"/>
      <c r="J44" s="151"/>
      <c r="K44" s="140" t="s">
        <v>1043</v>
      </c>
      <c r="L44" s="146"/>
      <c r="M44" s="146"/>
      <c r="N44" s="146"/>
      <c r="O44" s="146"/>
      <c r="P44" s="146"/>
      <c r="Q44" s="146"/>
      <c r="R44" s="145" t="s">
        <v>283</v>
      </c>
      <c r="S44" s="140" t="s">
        <v>685</v>
      </c>
      <c r="T44" s="144" t="s">
        <v>303</v>
      </c>
    </row>
    <row r="45" ht="22.5" customHeight="1">
      <c r="A45" s="143" t="s">
        <v>377</v>
      </c>
      <c r="B45" s="144" t="s">
        <v>379</v>
      </c>
      <c r="C45" s="141" t="s">
        <v>226</v>
      </c>
      <c r="D45" s="144" t="s">
        <v>380</v>
      </c>
      <c r="E45" s="142" t="s">
        <v>382</v>
      </c>
      <c r="F45" s="145" t="s">
        <v>220</v>
      </c>
      <c r="G45" s="140" t="s">
        <v>372</v>
      </c>
      <c r="H45" s="140" t="s">
        <v>365</v>
      </c>
      <c r="I45" s="151"/>
      <c r="J45" s="147"/>
      <c r="K45" s="140" t="s">
        <v>1043</v>
      </c>
      <c r="L45" s="146"/>
      <c r="M45" s="146"/>
      <c r="N45" s="146"/>
      <c r="O45" s="146"/>
      <c r="P45" s="146"/>
      <c r="Q45" s="146"/>
      <c r="R45" s="145" t="s">
        <v>283</v>
      </c>
      <c r="S45" s="140" t="s">
        <v>685</v>
      </c>
      <c r="T45" s="144" t="s">
        <v>303</v>
      </c>
    </row>
    <row r="46" ht="22.5" customHeight="1">
      <c r="A46" s="143" t="s">
        <v>377</v>
      </c>
      <c r="B46" s="144" t="s">
        <v>379</v>
      </c>
      <c r="C46" s="141" t="s">
        <v>226</v>
      </c>
      <c r="D46" s="144" t="s">
        <v>380</v>
      </c>
      <c r="E46" s="142" t="s">
        <v>382</v>
      </c>
      <c r="F46" s="145" t="s">
        <v>220</v>
      </c>
      <c r="G46" s="140" t="s">
        <v>378</v>
      </c>
      <c r="H46" s="140" t="s">
        <v>365</v>
      </c>
      <c r="I46" s="151"/>
      <c r="J46" s="147"/>
      <c r="K46" s="140" t="s">
        <v>1043</v>
      </c>
      <c r="L46" s="146"/>
      <c r="M46" s="146"/>
      <c r="N46" s="146"/>
      <c r="O46" s="146"/>
      <c r="P46" s="146"/>
      <c r="Q46" s="146"/>
      <c r="R46" s="145" t="s">
        <v>283</v>
      </c>
      <c r="S46" s="140" t="s">
        <v>685</v>
      </c>
      <c r="T46" s="144" t="s">
        <v>303</v>
      </c>
    </row>
    <row r="47" ht="22.5" customHeight="1">
      <c r="A47" s="143" t="s">
        <v>377</v>
      </c>
      <c r="B47" s="144" t="s">
        <v>379</v>
      </c>
      <c r="C47" s="141" t="s">
        <v>226</v>
      </c>
      <c r="D47" s="144" t="s">
        <v>380</v>
      </c>
      <c r="E47" s="142" t="s">
        <v>382</v>
      </c>
      <c r="F47" s="145" t="s">
        <v>220</v>
      </c>
      <c r="G47" s="140">
        <v>14773.0</v>
      </c>
      <c r="H47" s="140" t="s">
        <v>365</v>
      </c>
      <c r="I47" s="147"/>
      <c r="J47" s="147"/>
      <c r="K47" s="140" t="s">
        <v>1072</v>
      </c>
      <c r="L47" s="146"/>
      <c r="M47" s="146"/>
      <c r="N47" s="146"/>
      <c r="O47" s="146"/>
      <c r="P47" s="146"/>
      <c r="Q47" s="146"/>
      <c r="R47" s="145" t="s">
        <v>283</v>
      </c>
      <c r="S47" s="140" t="s">
        <v>685</v>
      </c>
      <c r="T47" s="144" t="s">
        <v>686</v>
      </c>
    </row>
    <row r="48" ht="22.5" customHeight="1">
      <c r="A48" s="143" t="s">
        <v>377</v>
      </c>
      <c r="B48" s="144" t="s">
        <v>379</v>
      </c>
      <c r="C48" s="141" t="s">
        <v>226</v>
      </c>
      <c r="D48" s="144" t="s">
        <v>380</v>
      </c>
      <c r="E48" s="142" t="s">
        <v>382</v>
      </c>
      <c r="F48" s="145" t="s">
        <v>220</v>
      </c>
      <c r="G48" s="140" t="s">
        <v>388</v>
      </c>
      <c r="H48" s="140" t="s">
        <v>385</v>
      </c>
      <c r="I48" s="147"/>
      <c r="J48" s="147"/>
      <c r="K48" s="140" t="s">
        <v>1081</v>
      </c>
      <c r="L48" s="140" t="s">
        <v>1082</v>
      </c>
      <c r="M48" s="146"/>
      <c r="N48" s="146"/>
      <c r="O48" s="146"/>
      <c r="P48" s="146"/>
      <c r="Q48" s="146"/>
      <c r="R48" s="145" t="s">
        <v>283</v>
      </c>
      <c r="S48" s="140" t="s">
        <v>685</v>
      </c>
      <c r="T48" s="144" t="s">
        <v>303</v>
      </c>
    </row>
    <row r="49" ht="22.5" customHeight="1">
      <c r="A49" s="143" t="s">
        <v>377</v>
      </c>
      <c r="B49" s="144" t="s">
        <v>379</v>
      </c>
      <c r="C49" s="141" t="s">
        <v>226</v>
      </c>
      <c r="D49" s="144" t="s">
        <v>380</v>
      </c>
      <c r="E49" s="142" t="s">
        <v>382</v>
      </c>
      <c r="F49" s="145" t="s">
        <v>220</v>
      </c>
      <c r="G49" s="166" t="s">
        <v>393</v>
      </c>
      <c r="H49" s="140" t="s">
        <v>392</v>
      </c>
      <c r="I49" s="147"/>
      <c r="J49" s="147"/>
      <c r="K49" s="140" t="s">
        <v>1093</v>
      </c>
      <c r="L49" s="146"/>
      <c r="M49" s="146"/>
      <c r="N49" s="146"/>
      <c r="O49" s="146"/>
      <c r="P49" s="146"/>
      <c r="Q49" s="146"/>
      <c r="R49" s="145" t="s">
        <v>283</v>
      </c>
      <c r="S49" s="140" t="s">
        <v>685</v>
      </c>
      <c r="T49" s="144" t="s">
        <v>303</v>
      </c>
    </row>
    <row r="50" ht="22.5" customHeight="1">
      <c r="A50" s="143" t="s">
        <v>377</v>
      </c>
      <c r="B50" s="144" t="s">
        <v>379</v>
      </c>
      <c r="C50" s="141" t="s">
        <v>226</v>
      </c>
      <c r="D50" s="144" t="s">
        <v>380</v>
      </c>
      <c r="E50" s="142" t="s">
        <v>382</v>
      </c>
      <c r="F50" s="145" t="s">
        <v>220</v>
      </c>
      <c r="G50" s="166" t="s">
        <v>394</v>
      </c>
      <c r="H50" s="140" t="s">
        <v>392</v>
      </c>
      <c r="I50" s="147"/>
      <c r="J50" s="147"/>
      <c r="K50" s="140" t="s">
        <v>1043</v>
      </c>
      <c r="L50" s="146"/>
      <c r="M50" s="146"/>
      <c r="N50" s="146"/>
      <c r="O50" s="146"/>
      <c r="P50" s="146"/>
      <c r="Q50" s="146"/>
      <c r="R50" s="145" t="s">
        <v>283</v>
      </c>
      <c r="S50" s="140" t="s">
        <v>685</v>
      </c>
      <c r="T50" s="144" t="s">
        <v>303</v>
      </c>
    </row>
    <row r="51" ht="22.5" customHeight="1">
      <c r="A51" s="143" t="s">
        <v>377</v>
      </c>
      <c r="B51" s="144" t="s">
        <v>379</v>
      </c>
      <c r="C51" s="141" t="s">
        <v>226</v>
      </c>
      <c r="D51" s="144" t="s">
        <v>380</v>
      </c>
      <c r="E51" s="142" t="s">
        <v>382</v>
      </c>
      <c r="F51" s="145" t="s">
        <v>220</v>
      </c>
      <c r="G51" s="166" t="s">
        <v>397</v>
      </c>
      <c r="H51" s="140" t="s">
        <v>392</v>
      </c>
      <c r="I51" s="147"/>
      <c r="J51" s="147"/>
      <c r="K51" s="140" t="s">
        <v>1107</v>
      </c>
      <c r="L51" s="146"/>
      <c r="M51" s="146"/>
      <c r="N51" s="146"/>
      <c r="O51" s="146"/>
      <c r="P51" s="146"/>
      <c r="Q51" s="146"/>
      <c r="R51" s="145" t="s">
        <v>283</v>
      </c>
      <c r="S51" s="140" t="s">
        <v>685</v>
      </c>
      <c r="T51" s="144" t="s">
        <v>303</v>
      </c>
    </row>
    <row r="52" ht="22.5" customHeight="1">
      <c r="A52" s="143" t="s">
        <v>377</v>
      </c>
      <c r="B52" s="144" t="s">
        <v>379</v>
      </c>
      <c r="C52" s="141" t="s">
        <v>226</v>
      </c>
      <c r="D52" s="144" t="s">
        <v>380</v>
      </c>
      <c r="E52" s="142" t="s">
        <v>382</v>
      </c>
      <c r="F52" s="145" t="s">
        <v>220</v>
      </c>
      <c r="G52" s="166" t="s">
        <v>403</v>
      </c>
      <c r="H52" s="140" t="s">
        <v>392</v>
      </c>
      <c r="I52" s="147"/>
      <c r="J52" s="147"/>
      <c r="K52" s="140" t="s">
        <v>1119</v>
      </c>
      <c r="L52" s="146"/>
      <c r="M52" s="140"/>
      <c r="N52" s="147"/>
      <c r="O52" s="147">
        <v>46163.0</v>
      </c>
      <c r="P52" s="146"/>
      <c r="Q52" s="146"/>
      <c r="R52" s="145" t="s">
        <v>283</v>
      </c>
      <c r="S52" s="140" t="s">
        <v>685</v>
      </c>
      <c r="T52" s="144" t="s">
        <v>303</v>
      </c>
    </row>
    <row r="53" ht="22.5" customHeight="1">
      <c r="A53" s="143" t="s">
        <v>377</v>
      </c>
      <c r="B53" s="144" t="s">
        <v>379</v>
      </c>
      <c r="C53" s="141" t="s">
        <v>226</v>
      </c>
      <c r="D53" s="144" t="s">
        <v>380</v>
      </c>
      <c r="E53" s="142" t="s">
        <v>382</v>
      </c>
      <c r="F53" s="145" t="s">
        <v>220</v>
      </c>
      <c r="G53" s="166">
        <v>19927.0</v>
      </c>
      <c r="H53" s="140" t="s">
        <v>392</v>
      </c>
      <c r="I53" s="147"/>
      <c r="J53" s="147"/>
      <c r="K53" s="140" t="s">
        <v>1130</v>
      </c>
      <c r="L53" s="146"/>
      <c r="M53" s="146"/>
      <c r="N53" s="146"/>
      <c r="O53" s="146"/>
      <c r="P53" s="146"/>
      <c r="Q53" s="146"/>
      <c r="R53" s="145" t="s">
        <v>283</v>
      </c>
      <c r="S53" s="140" t="s">
        <v>685</v>
      </c>
      <c r="T53" s="144" t="s">
        <v>686</v>
      </c>
    </row>
    <row r="54" ht="22.5" customHeight="1">
      <c r="A54" s="143" t="s">
        <v>377</v>
      </c>
      <c r="B54" s="144" t="s">
        <v>379</v>
      </c>
      <c r="C54" s="141" t="s">
        <v>226</v>
      </c>
      <c r="D54" s="144" t="s">
        <v>380</v>
      </c>
      <c r="E54" s="142" t="s">
        <v>382</v>
      </c>
      <c r="F54" s="145" t="s">
        <v>220</v>
      </c>
      <c r="G54" s="140">
        <v>35794.0</v>
      </c>
      <c r="H54" s="140" t="s">
        <v>177</v>
      </c>
      <c r="I54" s="147"/>
      <c r="J54" s="147"/>
      <c r="K54" s="140" t="s">
        <v>1140</v>
      </c>
      <c r="L54" s="146"/>
      <c r="M54" s="146"/>
      <c r="N54" s="146"/>
      <c r="O54" s="146"/>
      <c r="P54" s="146"/>
      <c r="Q54" s="146"/>
      <c r="R54" s="145" t="s">
        <v>283</v>
      </c>
      <c r="S54" s="140" t="s">
        <v>685</v>
      </c>
      <c r="T54" s="144" t="s">
        <v>303</v>
      </c>
    </row>
    <row r="55" ht="22.5" customHeight="1">
      <c r="A55" s="143" t="s">
        <v>377</v>
      </c>
      <c r="B55" s="144" t="s">
        <v>379</v>
      </c>
      <c r="C55" s="141" t="s">
        <v>226</v>
      </c>
      <c r="D55" s="144" t="s">
        <v>380</v>
      </c>
      <c r="E55" s="142" t="s">
        <v>382</v>
      </c>
      <c r="F55" s="145" t="s">
        <v>220</v>
      </c>
      <c r="G55" s="140" t="s">
        <v>407</v>
      </c>
      <c r="H55" s="140" t="s">
        <v>177</v>
      </c>
      <c r="I55" s="147"/>
      <c r="J55" s="147"/>
      <c r="K55" s="140" t="s">
        <v>1140</v>
      </c>
      <c r="L55" s="146"/>
      <c r="M55" s="146"/>
      <c r="N55" s="146"/>
      <c r="O55" s="146"/>
      <c r="P55" s="146"/>
      <c r="Q55" s="146"/>
      <c r="R55" s="145" t="s">
        <v>283</v>
      </c>
      <c r="S55" s="140" t="s">
        <v>685</v>
      </c>
      <c r="T55" s="144" t="s">
        <v>303</v>
      </c>
    </row>
    <row r="56" ht="22.5" customHeight="1">
      <c r="A56" s="143" t="s">
        <v>377</v>
      </c>
      <c r="B56" s="144" t="s">
        <v>379</v>
      </c>
      <c r="C56" s="141" t="s">
        <v>226</v>
      </c>
      <c r="D56" s="144" t="s">
        <v>380</v>
      </c>
      <c r="E56" s="142" t="s">
        <v>382</v>
      </c>
      <c r="F56" s="145" t="s">
        <v>220</v>
      </c>
      <c r="G56" s="140" t="s">
        <v>776</v>
      </c>
      <c r="H56" s="140" t="s">
        <v>177</v>
      </c>
      <c r="I56" s="147"/>
      <c r="J56" s="147"/>
      <c r="K56" s="140" t="s">
        <v>1158</v>
      </c>
      <c r="L56" s="140" t="s">
        <v>1160</v>
      </c>
      <c r="M56" s="146"/>
      <c r="N56" s="146"/>
      <c r="O56" s="146"/>
      <c r="P56" s="146"/>
      <c r="Q56" s="146"/>
      <c r="R56" s="145" t="s">
        <v>283</v>
      </c>
      <c r="S56" s="140" t="s">
        <v>685</v>
      </c>
      <c r="T56" s="144" t="s">
        <v>303</v>
      </c>
    </row>
    <row r="57" ht="22.5" customHeight="1">
      <c r="A57" s="143" t="s">
        <v>377</v>
      </c>
      <c r="B57" s="144" t="s">
        <v>379</v>
      </c>
      <c r="C57" s="141" t="s">
        <v>226</v>
      </c>
      <c r="D57" s="144" t="s">
        <v>380</v>
      </c>
      <c r="E57" s="142" t="s">
        <v>382</v>
      </c>
      <c r="F57" s="145" t="s">
        <v>220</v>
      </c>
      <c r="G57" s="140" t="s">
        <v>780</v>
      </c>
      <c r="H57" s="140" t="s">
        <v>177</v>
      </c>
      <c r="I57" s="147"/>
      <c r="J57" s="147"/>
      <c r="K57" s="140" t="s">
        <v>1164</v>
      </c>
      <c r="L57" s="146"/>
      <c r="M57" s="146"/>
      <c r="N57" s="146"/>
      <c r="O57" s="146"/>
      <c r="P57" s="146"/>
      <c r="Q57" s="146"/>
      <c r="R57" s="145" t="s">
        <v>283</v>
      </c>
      <c r="S57" s="140" t="s">
        <v>685</v>
      </c>
      <c r="T57" s="144" t="s">
        <v>686</v>
      </c>
    </row>
    <row r="58" ht="22.5" customHeight="1">
      <c r="A58" s="143" t="s">
        <v>377</v>
      </c>
      <c r="B58" s="144" t="s">
        <v>379</v>
      </c>
      <c r="C58" s="141" t="s">
        <v>226</v>
      </c>
      <c r="D58" s="144" t="s">
        <v>380</v>
      </c>
      <c r="E58" s="142" t="s">
        <v>382</v>
      </c>
      <c r="F58" s="145" t="s">
        <v>294</v>
      </c>
      <c r="G58" s="166" t="s">
        <v>415</v>
      </c>
      <c r="H58" s="140" t="s">
        <v>177</v>
      </c>
      <c r="I58" s="147"/>
      <c r="J58" s="147"/>
      <c r="K58" s="140" t="s">
        <v>1170</v>
      </c>
      <c r="L58" s="146"/>
      <c r="M58" s="146"/>
      <c r="N58" s="146"/>
      <c r="O58" s="146"/>
      <c r="P58" s="146"/>
      <c r="Q58" s="146"/>
      <c r="R58" s="145" t="s">
        <v>283</v>
      </c>
      <c r="S58" s="140" t="s">
        <v>685</v>
      </c>
      <c r="T58" s="144" t="s">
        <v>303</v>
      </c>
    </row>
    <row r="59" ht="22.5" customHeight="1">
      <c r="A59" s="143" t="s">
        <v>377</v>
      </c>
      <c r="B59" s="144" t="s">
        <v>379</v>
      </c>
      <c r="C59" s="141" t="s">
        <v>226</v>
      </c>
      <c r="D59" s="144" t="s">
        <v>380</v>
      </c>
      <c r="E59" s="142" t="s">
        <v>382</v>
      </c>
      <c r="F59" s="145" t="s">
        <v>220</v>
      </c>
      <c r="G59" s="140" t="s">
        <v>416</v>
      </c>
      <c r="H59" s="140" t="s">
        <v>90</v>
      </c>
      <c r="I59" s="147"/>
      <c r="J59" s="147"/>
      <c r="K59" s="140" t="s">
        <v>1178</v>
      </c>
      <c r="L59" s="146"/>
      <c r="M59" s="146"/>
      <c r="N59" s="146"/>
      <c r="O59" s="146"/>
      <c r="P59" s="146"/>
      <c r="Q59" s="146"/>
      <c r="R59" s="145" t="s">
        <v>283</v>
      </c>
      <c r="S59" s="140" t="s">
        <v>685</v>
      </c>
      <c r="T59" s="144" t="s">
        <v>303</v>
      </c>
    </row>
    <row r="60" ht="22.5" customHeight="1">
      <c r="A60" s="143" t="s">
        <v>377</v>
      </c>
      <c r="B60" s="144" t="s">
        <v>379</v>
      </c>
      <c r="C60" s="141" t="s">
        <v>226</v>
      </c>
      <c r="D60" s="144" t="s">
        <v>380</v>
      </c>
      <c r="E60" s="142" t="s">
        <v>382</v>
      </c>
      <c r="F60" s="145" t="s">
        <v>220</v>
      </c>
      <c r="G60" s="140" t="s">
        <v>418</v>
      </c>
      <c r="H60" s="140" t="s">
        <v>90</v>
      </c>
      <c r="I60" s="147"/>
      <c r="J60" s="151"/>
      <c r="K60" s="140" t="s">
        <v>1182</v>
      </c>
      <c r="L60" s="146"/>
      <c r="M60" s="146"/>
      <c r="N60" s="146"/>
      <c r="O60" s="146"/>
      <c r="P60" s="146"/>
      <c r="Q60" s="146"/>
      <c r="R60" s="145" t="s">
        <v>283</v>
      </c>
      <c r="S60" s="140" t="s">
        <v>685</v>
      </c>
      <c r="T60" s="144" t="s">
        <v>303</v>
      </c>
    </row>
    <row r="61" ht="22.5" customHeight="1">
      <c r="A61" s="143" t="s">
        <v>377</v>
      </c>
      <c r="B61" s="144" t="s">
        <v>379</v>
      </c>
      <c r="C61" s="141" t="s">
        <v>226</v>
      </c>
      <c r="D61" s="144" t="s">
        <v>380</v>
      </c>
      <c r="E61" s="142" t="s">
        <v>382</v>
      </c>
      <c r="F61" s="145" t="s">
        <v>220</v>
      </c>
      <c r="G61" s="140" t="s">
        <v>424</v>
      </c>
      <c r="H61" s="140" t="s">
        <v>90</v>
      </c>
      <c r="I61" s="147"/>
      <c r="J61" s="147"/>
      <c r="K61" s="140" t="s">
        <v>1182</v>
      </c>
      <c r="L61" s="146"/>
      <c r="M61" s="146"/>
      <c r="N61" s="146"/>
      <c r="O61" s="146"/>
      <c r="P61" s="146"/>
      <c r="Q61" s="146"/>
      <c r="R61" s="145" t="s">
        <v>283</v>
      </c>
      <c r="S61" s="140" t="s">
        <v>685</v>
      </c>
      <c r="T61" s="144" t="s">
        <v>303</v>
      </c>
    </row>
    <row r="62" ht="22.5" customHeight="1">
      <c r="A62" s="143" t="s">
        <v>377</v>
      </c>
      <c r="B62" s="144" t="s">
        <v>379</v>
      </c>
      <c r="C62" s="141" t="s">
        <v>226</v>
      </c>
      <c r="D62" s="144" t="s">
        <v>380</v>
      </c>
      <c r="E62" s="142" t="s">
        <v>382</v>
      </c>
      <c r="F62" s="145" t="s">
        <v>220</v>
      </c>
      <c r="G62" s="140" t="s">
        <v>751</v>
      </c>
      <c r="H62" s="140" t="s">
        <v>750</v>
      </c>
      <c r="I62" s="147"/>
      <c r="J62" s="147"/>
      <c r="K62" s="140" t="s">
        <v>1194</v>
      </c>
      <c r="L62" s="140" t="s">
        <v>1195</v>
      </c>
      <c r="M62" s="146"/>
      <c r="N62" s="146"/>
      <c r="O62" s="146"/>
      <c r="P62" s="146"/>
      <c r="Q62" s="146"/>
      <c r="R62" s="145" t="s">
        <v>283</v>
      </c>
      <c r="S62" s="140" t="s">
        <v>685</v>
      </c>
      <c r="T62" s="144" t="s">
        <v>747</v>
      </c>
    </row>
    <row r="63" ht="22.5" customHeight="1">
      <c r="A63" s="143" t="s">
        <v>377</v>
      </c>
      <c r="B63" s="144" t="s">
        <v>379</v>
      </c>
      <c r="C63" s="141" t="s">
        <v>226</v>
      </c>
      <c r="D63" s="144" t="s">
        <v>380</v>
      </c>
      <c r="E63" s="142" t="s">
        <v>382</v>
      </c>
      <c r="F63" s="145" t="s">
        <v>220</v>
      </c>
      <c r="G63" s="140" t="s">
        <v>742</v>
      </c>
      <c r="H63" s="140" t="s">
        <v>428</v>
      </c>
      <c r="I63" s="147"/>
      <c r="J63" s="147"/>
      <c r="K63" s="140" t="s">
        <v>1200</v>
      </c>
      <c r="L63" s="146"/>
      <c r="M63" s="146"/>
      <c r="N63" s="146"/>
      <c r="O63" s="146"/>
      <c r="P63" s="146"/>
      <c r="Q63" s="146"/>
      <c r="R63" s="145" t="s">
        <v>283</v>
      </c>
      <c r="S63" s="140" t="s">
        <v>685</v>
      </c>
      <c r="T63" s="144" t="s">
        <v>686</v>
      </c>
    </row>
    <row r="64" ht="22.5" customHeight="1">
      <c r="A64" s="143" t="s">
        <v>377</v>
      </c>
      <c r="B64" s="144" t="s">
        <v>379</v>
      </c>
      <c r="C64" s="141" t="s">
        <v>226</v>
      </c>
      <c r="D64" s="144" t="s">
        <v>380</v>
      </c>
      <c r="E64" s="142" t="s">
        <v>382</v>
      </c>
      <c r="F64" s="145" t="s">
        <v>220</v>
      </c>
      <c r="G64" s="140" t="s">
        <v>813</v>
      </c>
      <c r="H64" s="140" t="s">
        <v>428</v>
      </c>
      <c r="I64" s="147"/>
      <c r="J64" s="147"/>
      <c r="K64" s="140" t="s">
        <v>1210</v>
      </c>
      <c r="L64" s="146"/>
      <c r="M64" s="146"/>
      <c r="N64" s="146"/>
      <c r="O64" s="146"/>
      <c r="P64" s="146"/>
      <c r="Q64" s="146"/>
      <c r="R64" s="145" t="s">
        <v>283</v>
      </c>
      <c r="S64" s="140" t="s">
        <v>685</v>
      </c>
      <c r="T64" s="144" t="s">
        <v>303</v>
      </c>
    </row>
    <row r="65" ht="22.5" customHeight="1">
      <c r="A65" s="143" t="s">
        <v>377</v>
      </c>
      <c r="B65" s="144" t="s">
        <v>379</v>
      </c>
      <c r="C65" s="141" t="s">
        <v>226</v>
      </c>
      <c r="D65" s="144" t="s">
        <v>380</v>
      </c>
      <c r="E65" s="142" t="s">
        <v>382</v>
      </c>
      <c r="F65" s="145" t="s">
        <v>220</v>
      </c>
      <c r="G65" s="140" t="s">
        <v>415</v>
      </c>
      <c r="H65" s="140" t="s">
        <v>428</v>
      </c>
      <c r="I65" s="151"/>
      <c r="J65" s="151"/>
      <c r="K65" s="140" t="s">
        <v>1227</v>
      </c>
      <c r="L65" s="146"/>
      <c r="M65" s="146"/>
      <c r="N65" s="146"/>
      <c r="O65" s="146"/>
      <c r="P65" s="146"/>
      <c r="Q65" s="146"/>
      <c r="R65" s="145" t="s">
        <v>283</v>
      </c>
      <c r="S65" s="140" t="s">
        <v>685</v>
      </c>
      <c r="T65" s="144" t="s">
        <v>303</v>
      </c>
    </row>
    <row r="66" ht="22.5" customHeight="1">
      <c r="A66" s="143" t="s">
        <v>377</v>
      </c>
      <c r="B66" s="144" t="s">
        <v>379</v>
      </c>
      <c r="C66" s="141" t="s">
        <v>226</v>
      </c>
      <c r="D66" s="144" t="s">
        <v>380</v>
      </c>
      <c r="E66" s="142" t="s">
        <v>382</v>
      </c>
      <c r="F66" s="145" t="s">
        <v>220</v>
      </c>
      <c r="G66" s="140" t="s">
        <v>824</v>
      </c>
      <c r="H66" s="140" t="s">
        <v>787</v>
      </c>
      <c r="I66" s="151"/>
      <c r="J66" s="151"/>
      <c r="K66" s="140" t="s">
        <v>1240</v>
      </c>
      <c r="L66" s="146"/>
      <c r="M66" s="146"/>
      <c r="N66" s="146"/>
      <c r="O66" s="146"/>
      <c r="P66" s="146"/>
      <c r="Q66" s="146"/>
      <c r="R66" s="145" t="s">
        <v>283</v>
      </c>
      <c r="S66" s="140" t="s">
        <v>685</v>
      </c>
      <c r="T66" s="144" t="s">
        <v>303</v>
      </c>
    </row>
    <row r="67" ht="22.5" customHeight="1">
      <c r="A67" s="143" t="s">
        <v>377</v>
      </c>
      <c r="B67" s="144" t="s">
        <v>379</v>
      </c>
      <c r="C67" s="141" t="s">
        <v>226</v>
      </c>
      <c r="D67" s="144" t="s">
        <v>380</v>
      </c>
      <c r="E67" s="142" t="s">
        <v>382</v>
      </c>
      <c r="F67" s="145" t="s">
        <v>220</v>
      </c>
      <c r="G67" s="140" t="s">
        <v>789</v>
      </c>
      <c r="H67" s="140" t="s">
        <v>787</v>
      </c>
      <c r="I67" s="151"/>
      <c r="J67" s="151"/>
      <c r="K67" s="140" t="s">
        <v>1259</v>
      </c>
      <c r="L67" s="146"/>
      <c r="M67" s="146"/>
      <c r="N67" s="146"/>
      <c r="O67" s="146"/>
      <c r="P67" s="146"/>
      <c r="Q67" s="146"/>
      <c r="R67" s="145" t="s">
        <v>283</v>
      </c>
      <c r="S67" s="140" t="s">
        <v>685</v>
      </c>
      <c r="T67" s="144" t="s">
        <v>686</v>
      </c>
    </row>
    <row r="68" ht="22.5" customHeight="1">
      <c r="A68" s="143" t="s">
        <v>377</v>
      </c>
      <c r="B68" s="144" t="s">
        <v>379</v>
      </c>
      <c r="C68" s="141" t="s">
        <v>226</v>
      </c>
      <c r="D68" s="144" t="s">
        <v>380</v>
      </c>
      <c r="E68" s="142" t="s">
        <v>382</v>
      </c>
      <c r="F68" s="145" t="s">
        <v>220</v>
      </c>
      <c r="G68" s="140" t="s">
        <v>431</v>
      </c>
      <c r="H68" s="140" t="s">
        <v>430</v>
      </c>
      <c r="I68" s="151"/>
      <c r="J68" s="147"/>
      <c r="K68" s="140" t="s">
        <v>1267</v>
      </c>
      <c r="L68" s="146"/>
      <c r="M68" s="146"/>
      <c r="N68" s="146"/>
      <c r="O68" s="146"/>
      <c r="P68" s="146"/>
      <c r="Q68" s="146"/>
      <c r="R68" s="145" t="s">
        <v>283</v>
      </c>
      <c r="S68" s="140" t="s">
        <v>685</v>
      </c>
      <c r="T68" s="144" t="s">
        <v>303</v>
      </c>
    </row>
    <row r="69" ht="22.5" customHeight="1">
      <c r="A69" s="143" t="s">
        <v>377</v>
      </c>
      <c r="B69" s="144" t="s">
        <v>379</v>
      </c>
      <c r="C69" s="141" t="s">
        <v>226</v>
      </c>
      <c r="D69" s="144" t="s">
        <v>380</v>
      </c>
      <c r="E69" s="142" t="s">
        <v>382</v>
      </c>
      <c r="F69" s="145" t="s">
        <v>220</v>
      </c>
      <c r="G69" s="140" t="s">
        <v>434</v>
      </c>
      <c r="H69" s="140" t="s">
        <v>209</v>
      </c>
      <c r="I69" s="151"/>
      <c r="J69" s="147"/>
      <c r="K69" s="140" t="s">
        <v>1276</v>
      </c>
      <c r="L69" s="146"/>
      <c r="M69" s="146"/>
      <c r="N69" s="146"/>
      <c r="O69" s="146"/>
      <c r="P69" s="146"/>
      <c r="Q69" s="146"/>
      <c r="R69" s="145" t="s">
        <v>283</v>
      </c>
      <c r="S69" s="140" t="s">
        <v>685</v>
      </c>
      <c r="T69" s="144" t="s">
        <v>303</v>
      </c>
    </row>
    <row r="70" ht="22.5" customHeight="1">
      <c r="A70" s="143" t="s">
        <v>377</v>
      </c>
      <c r="B70" s="144" t="s">
        <v>379</v>
      </c>
      <c r="C70" s="141" t="s">
        <v>226</v>
      </c>
      <c r="D70" s="144" t="s">
        <v>380</v>
      </c>
      <c r="E70" s="142" t="s">
        <v>382</v>
      </c>
      <c r="F70" s="145" t="s">
        <v>220</v>
      </c>
      <c r="G70" s="140" t="s">
        <v>440</v>
      </c>
      <c r="H70" s="140" t="s">
        <v>209</v>
      </c>
      <c r="I70" s="146"/>
      <c r="J70" s="147"/>
      <c r="K70" s="140" t="s">
        <v>1284</v>
      </c>
      <c r="L70" s="140"/>
      <c r="M70" s="146"/>
      <c r="N70" s="146"/>
      <c r="O70" s="146"/>
      <c r="P70" s="146"/>
      <c r="Q70" s="146"/>
      <c r="R70" s="145" t="s">
        <v>283</v>
      </c>
      <c r="S70" s="140" t="s">
        <v>685</v>
      </c>
      <c r="T70" s="144" t="s">
        <v>303</v>
      </c>
    </row>
    <row r="71" ht="22.5" customHeight="1">
      <c r="A71" s="143" t="s">
        <v>377</v>
      </c>
      <c r="B71" s="144" t="s">
        <v>379</v>
      </c>
      <c r="C71" s="141" t="s">
        <v>226</v>
      </c>
      <c r="D71" s="144" t="s">
        <v>380</v>
      </c>
      <c r="E71" s="142" t="s">
        <v>382</v>
      </c>
      <c r="F71" s="145" t="s">
        <v>220</v>
      </c>
      <c r="G71" s="140">
        <v>18907.0</v>
      </c>
      <c r="H71" s="140" t="s">
        <v>131</v>
      </c>
      <c r="I71" s="146"/>
      <c r="J71" s="147"/>
      <c r="K71" s="140" t="s">
        <v>1298</v>
      </c>
      <c r="L71" s="146"/>
      <c r="M71" s="140"/>
      <c r="N71" s="147"/>
      <c r="O71" s="147">
        <v>46167.0</v>
      </c>
      <c r="P71" s="146"/>
      <c r="Q71" s="146"/>
      <c r="R71" s="145" t="s">
        <v>283</v>
      </c>
      <c r="S71" s="140" t="s">
        <v>685</v>
      </c>
      <c r="T71" s="144" t="s">
        <v>303</v>
      </c>
    </row>
    <row r="72" ht="22.5" customHeight="1">
      <c r="A72" s="143" t="s">
        <v>377</v>
      </c>
      <c r="B72" s="144" t="s">
        <v>379</v>
      </c>
      <c r="C72" s="141" t="s">
        <v>226</v>
      </c>
      <c r="D72" s="144" t="s">
        <v>380</v>
      </c>
      <c r="E72" s="142" t="s">
        <v>382</v>
      </c>
      <c r="F72" s="145" t="s">
        <v>220</v>
      </c>
      <c r="G72" s="140">
        <v>34325.0</v>
      </c>
      <c r="H72" s="140" t="s">
        <v>131</v>
      </c>
      <c r="I72" s="146"/>
      <c r="J72" s="147"/>
      <c r="K72" s="140" t="s">
        <v>1307</v>
      </c>
      <c r="L72" s="146"/>
      <c r="M72" s="146"/>
      <c r="N72" s="146"/>
      <c r="O72" s="146"/>
      <c r="P72" s="146"/>
      <c r="Q72" s="146"/>
      <c r="R72" s="145" t="s">
        <v>283</v>
      </c>
      <c r="S72" s="140" t="s">
        <v>685</v>
      </c>
      <c r="T72" s="144" t="s">
        <v>686</v>
      </c>
    </row>
    <row r="73" ht="22.5" customHeight="1">
      <c r="A73" s="143" t="s">
        <v>377</v>
      </c>
      <c r="B73" s="144" t="s">
        <v>379</v>
      </c>
      <c r="C73" s="141" t="s">
        <v>226</v>
      </c>
      <c r="D73" s="144" t="s">
        <v>380</v>
      </c>
      <c r="E73" s="142" t="s">
        <v>382</v>
      </c>
      <c r="F73" s="145" t="s">
        <v>220</v>
      </c>
      <c r="G73" s="140">
        <v>35902.0</v>
      </c>
      <c r="H73" s="140" t="s">
        <v>131</v>
      </c>
      <c r="I73" s="146"/>
      <c r="J73" s="147"/>
      <c r="K73" s="140" t="s">
        <v>1314</v>
      </c>
      <c r="L73" s="146"/>
      <c r="M73" s="146"/>
      <c r="N73" s="146"/>
      <c r="O73" s="146"/>
      <c r="P73" s="146"/>
      <c r="Q73" s="146"/>
      <c r="R73" s="145" t="s">
        <v>283</v>
      </c>
      <c r="S73" s="140" t="s">
        <v>685</v>
      </c>
      <c r="T73" s="144" t="s">
        <v>686</v>
      </c>
    </row>
    <row r="74" ht="22.5" customHeight="1">
      <c r="A74" s="143" t="s">
        <v>377</v>
      </c>
      <c r="B74" s="144" t="s">
        <v>379</v>
      </c>
      <c r="C74" s="141" t="s">
        <v>226</v>
      </c>
      <c r="D74" s="144" t="s">
        <v>380</v>
      </c>
      <c r="E74" s="142" t="s">
        <v>382</v>
      </c>
      <c r="F74" s="145" t="s">
        <v>220</v>
      </c>
      <c r="G74" s="140">
        <v>34310.0</v>
      </c>
      <c r="H74" s="140" t="s">
        <v>131</v>
      </c>
      <c r="I74" s="146"/>
      <c r="J74" s="147"/>
      <c r="K74" s="140" t="s">
        <v>1331</v>
      </c>
      <c r="L74" s="146"/>
      <c r="M74" s="146"/>
      <c r="N74" s="146"/>
      <c r="O74" s="146"/>
      <c r="P74" s="146"/>
      <c r="Q74" s="146"/>
      <c r="R74" s="145" t="s">
        <v>283</v>
      </c>
      <c r="S74" s="140" t="s">
        <v>685</v>
      </c>
      <c r="T74" s="144" t="s">
        <v>686</v>
      </c>
    </row>
    <row r="75" ht="22.5" customHeight="1">
      <c r="A75" s="143" t="s">
        <v>377</v>
      </c>
      <c r="B75" s="144" t="s">
        <v>379</v>
      </c>
      <c r="C75" s="141" t="s">
        <v>226</v>
      </c>
      <c r="D75" s="144" t="s">
        <v>380</v>
      </c>
      <c r="E75" s="142" t="s">
        <v>382</v>
      </c>
      <c r="F75" s="145" t="s">
        <v>220</v>
      </c>
      <c r="G75" s="166">
        <v>18908.0</v>
      </c>
      <c r="H75" s="140" t="s">
        <v>131</v>
      </c>
      <c r="I75" s="146"/>
      <c r="J75" s="147"/>
      <c r="K75" s="140" t="s">
        <v>1353</v>
      </c>
      <c r="L75" s="146"/>
      <c r="M75" s="146"/>
      <c r="N75" s="146"/>
      <c r="O75" s="146"/>
      <c r="P75" s="146"/>
      <c r="Q75" s="146"/>
      <c r="R75" s="145" t="s">
        <v>283</v>
      </c>
      <c r="S75" s="140" t="s">
        <v>685</v>
      </c>
      <c r="T75" s="144" t="s">
        <v>686</v>
      </c>
    </row>
    <row r="76" ht="22.5" customHeight="1">
      <c r="A76" s="143" t="s">
        <v>377</v>
      </c>
      <c r="B76" s="144" t="s">
        <v>379</v>
      </c>
      <c r="C76" s="141" t="s">
        <v>226</v>
      </c>
      <c r="D76" s="144" t="s">
        <v>380</v>
      </c>
      <c r="E76" s="142" t="s">
        <v>382</v>
      </c>
      <c r="F76" s="145" t="s">
        <v>220</v>
      </c>
      <c r="G76" s="166" t="s">
        <v>446</v>
      </c>
      <c r="H76" s="140" t="s">
        <v>131</v>
      </c>
      <c r="I76" s="146"/>
      <c r="J76" s="147"/>
      <c r="K76" s="140" t="s">
        <v>1378</v>
      </c>
      <c r="L76" s="140"/>
      <c r="M76" s="140"/>
      <c r="N76" s="147"/>
      <c r="O76" s="147">
        <v>46167.0</v>
      </c>
      <c r="P76" s="146"/>
      <c r="Q76" s="146"/>
      <c r="R76" s="145" t="s">
        <v>283</v>
      </c>
      <c r="S76" s="140" t="s">
        <v>685</v>
      </c>
      <c r="T76" s="144" t="s">
        <v>303</v>
      </c>
    </row>
    <row r="77" ht="22.5" customHeight="1">
      <c r="A77" s="143" t="s">
        <v>377</v>
      </c>
      <c r="B77" s="144" t="s">
        <v>379</v>
      </c>
      <c r="C77" s="141" t="s">
        <v>226</v>
      </c>
      <c r="D77" s="144" t="s">
        <v>380</v>
      </c>
      <c r="E77" s="142" t="s">
        <v>382</v>
      </c>
      <c r="F77" s="145" t="s">
        <v>220</v>
      </c>
      <c r="G77" s="166" t="s">
        <v>452</v>
      </c>
      <c r="H77" s="140" t="s">
        <v>131</v>
      </c>
      <c r="I77" s="146"/>
      <c r="J77" s="147"/>
      <c r="K77" s="140" t="s">
        <v>1378</v>
      </c>
      <c r="L77" s="140"/>
      <c r="M77" s="140"/>
      <c r="N77" s="146"/>
      <c r="O77" s="146"/>
      <c r="P77" s="146"/>
      <c r="Q77" s="146"/>
      <c r="R77" s="145" t="s">
        <v>283</v>
      </c>
      <c r="S77" s="140" t="s">
        <v>685</v>
      </c>
      <c r="T77" s="144" t="s">
        <v>303</v>
      </c>
    </row>
    <row r="78" ht="22.5" customHeight="1">
      <c r="A78" s="143" t="s">
        <v>377</v>
      </c>
      <c r="B78" s="144" t="s">
        <v>379</v>
      </c>
      <c r="C78" s="150" t="s">
        <v>226</v>
      </c>
      <c r="D78" s="144" t="s">
        <v>380</v>
      </c>
      <c r="E78" s="142" t="s">
        <v>382</v>
      </c>
      <c r="F78" s="145" t="s">
        <v>220</v>
      </c>
      <c r="G78" s="166" t="s">
        <v>455</v>
      </c>
      <c r="H78" s="140" t="s">
        <v>131</v>
      </c>
      <c r="I78" s="147"/>
      <c r="J78" s="147"/>
      <c r="K78" s="140" t="s">
        <v>1391</v>
      </c>
      <c r="L78" s="140"/>
      <c r="M78" s="140"/>
      <c r="N78" s="147"/>
      <c r="O78" s="147">
        <v>46167.0</v>
      </c>
      <c r="P78" s="146"/>
      <c r="Q78" s="146"/>
      <c r="R78" s="145" t="s">
        <v>283</v>
      </c>
      <c r="S78" s="140" t="s">
        <v>685</v>
      </c>
      <c r="T78" s="144" t="s">
        <v>303</v>
      </c>
    </row>
    <row r="79" ht="22.5" customHeight="1">
      <c r="A79" s="143" t="s">
        <v>377</v>
      </c>
      <c r="B79" s="144" t="s">
        <v>379</v>
      </c>
      <c r="C79" s="150" t="s">
        <v>226</v>
      </c>
      <c r="D79" s="144" t="s">
        <v>380</v>
      </c>
      <c r="E79" s="142" t="s">
        <v>382</v>
      </c>
      <c r="F79" s="145" t="s">
        <v>220</v>
      </c>
      <c r="G79" s="166" t="s">
        <v>462</v>
      </c>
      <c r="H79" s="140" t="s">
        <v>187</v>
      </c>
      <c r="I79" s="147"/>
      <c r="J79" s="147"/>
      <c r="K79" s="140" t="s">
        <v>1001</v>
      </c>
      <c r="L79" s="146"/>
      <c r="M79" s="146"/>
      <c r="N79" s="146"/>
      <c r="O79" s="146"/>
      <c r="P79" s="146"/>
      <c r="Q79" s="146"/>
      <c r="R79" s="145" t="s">
        <v>283</v>
      </c>
      <c r="S79" s="140" t="s">
        <v>685</v>
      </c>
      <c r="T79" s="144" t="s">
        <v>303</v>
      </c>
    </row>
    <row r="80" ht="22.5" customHeight="1">
      <c r="A80" s="143" t="s">
        <v>377</v>
      </c>
      <c r="B80" s="144" t="s">
        <v>379</v>
      </c>
      <c r="C80" s="150" t="s">
        <v>226</v>
      </c>
      <c r="D80" s="144" t="s">
        <v>380</v>
      </c>
      <c r="E80" s="142" t="s">
        <v>382</v>
      </c>
      <c r="F80" s="145" t="s">
        <v>220</v>
      </c>
      <c r="G80" s="166" t="s">
        <v>464</v>
      </c>
      <c r="H80" s="140" t="s">
        <v>187</v>
      </c>
      <c r="I80" s="147"/>
      <c r="J80" s="147"/>
      <c r="K80" s="140" t="s">
        <v>1001</v>
      </c>
      <c r="L80" s="146"/>
      <c r="M80" s="146"/>
      <c r="N80" s="146"/>
      <c r="O80" s="146"/>
      <c r="P80" s="146"/>
      <c r="Q80" s="146"/>
      <c r="R80" s="145" t="s">
        <v>283</v>
      </c>
      <c r="S80" s="140" t="s">
        <v>685</v>
      </c>
      <c r="T80" s="144" t="s">
        <v>303</v>
      </c>
    </row>
    <row r="81" ht="22.5" customHeight="1">
      <c r="A81" s="143" t="s">
        <v>377</v>
      </c>
      <c r="B81" s="144" t="s">
        <v>379</v>
      </c>
      <c r="C81" s="150" t="s">
        <v>226</v>
      </c>
      <c r="D81" s="144" t="s">
        <v>380</v>
      </c>
      <c r="E81" s="142" t="s">
        <v>382</v>
      </c>
      <c r="F81" s="145" t="s">
        <v>220</v>
      </c>
      <c r="G81" s="166" t="s">
        <v>829</v>
      </c>
      <c r="H81" s="140" t="s">
        <v>187</v>
      </c>
      <c r="I81" s="147"/>
      <c r="J81" s="147"/>
      <c r="K81" s="140" t="s">
        <v>1409</v>
      </c>
      <c r="L81" s="140"/>
      <c r="M81" s="140"/>
      <c r="N81" s="146"/>
      <c r="O81" s="146"/>
      <c r="P81" s="146"/>
      <c r="Q81" s="146"/>
      <c r="R81" s="145" t="s">
        <v>283</v>
      </c>
      <c r="S81" s="140" t="s">
        <v>685</v>
      </c>
      <c r="T81" s="144" t="s">
        <v>303</v>
      </c>
    </row>
    <row r="82" ht="22.5" customHeight="1">
      <c r="A82" s="143" t="s">
        <v>377</v>
      </c>
      <c r="B82" s="144" t="s">
        <v>379</v>
      </c>
      <c r="C82" s="150" t="s">
        <v>226</v>
      </c>
      <c r="D82" s="144" t="s">
        <v>380</v>
      </c>
      <c r="E82" s="142" t="s">
        <v>382</v>
      </c>
      <c r="F82" s="145" t="s">
        <v>220</v>
      </c>
      <c r="G82" s="166" t="s">
        <v>466</v>
      </c>
      <c r="H82" s="140" t="s">
        <v>187</v>
      </c>
      <c r="I82" s="147"/>
      <c r="J82" s="147"/>
      <c r="K82" s="140" t="s">
        <v>1414</v>
      </c>
      <c r="L82" s="140"/>
      <c r="M82" s="140"/>
      <c r="N82" s="146"/>
      <c r="O82" s="146"/>
      <c r="P82" s="146"/>
      <c r="Q82" s="146"/>
      <c r="R82" s="145" t="s">
        <v>283</v>
      </c>
      <c r="S82" s="140" t="s">
        <v>685</v>
      </c>
      <c r="T82" s="144" t="s">
        <v>303</v>
      </c>
    </row>
    <row r="83" ht="22.5" customHeight="1">
      <c r="A83" s="143" t="s">
        <v>377</v>
      </c>
      <c r="B83" s="144" t="s">
        <v>379</v>
      </c>
      <c r="C83" s="150" t="s">
        <v>226</v>
      </c>
      <c r="D83" s="144" t="s">
        <v>380</v>
      </c>
      <c r="E83" s="142" t="s">
        <v>382</v>
      </c>
      <c r="F83" s="145" t="s">
        <v>220</v>
      </c>
      <c r="G83" s="166">
        <v>34306.0</v>
      </c>
      <c r="H83" s="140" t="s">
        <v>187</v>
      </c>
      <c r="I83" s="147"/>
      <c r="J83" s="147"/>
      <c r="K83" s="140" t="s">
        <v>1420</v>
      </c>
      <c r="L83" s="146"/>
      <c r="M83" s="146"/>
      <c r="N83" s="146"/>
      <c r="O83" s="146"/>
      <c r="P83" s="146"/>
      <c r="Q83" s="146"/>
      <c r="R83" s="145" t="s">
        <v>283</v>
      </c>
      <c r="S83" s="140" t="s">
        <v>685</v>
      </c>
      <c r="T83" s="144" t="s">
        <v>686</v>
      </c>
    </row>
    <row r="84" ht="22.5" customHeight="1">
      <c r="A84" s="143" t="s">
        <v>377</v>
      </c>
      <c r="B84" s="144" t="s">
        <v>379</v>
      </c>
      <c r="C84" s="150" t="s">
        <v>226</v>
      </c>
      <c r="D84" s="144" t="s">
        <v>380</v>
      </c>
      <c r="E84" s="142" t="s">
        <v>382</v>
      </c>
      <c r="F84" s="145" t="s">
        <v>220</v>
      </c>
      <c r="G84" s="140">
        <v>34316.0</v>
      </c>
      <c r="H84" s="140" t="s">
        <v>187</v>
      </c>
      <c r="I84" s="147"/>
      <c r="J84" s="147"/>
      <c r="K84" s="140" t="s">
        <v>1428</v>
      </c>
      <c r="L84" s="146"/>
      <c r="M84" s="146"/>
      <c r="N84" s="146"/>
      <c r="O84" s="146"/>
      <c r="P84" s="146"/>
      <c r="Q84" s="146"/>
      <c r="R84" s="145" t="s">
        <v>283</v>
      </c>
      <c r="S84" s="140" t="s">
        <v>685</v>
      </c>
      <c r="T84" s="144" t="s">
        <v>686</v>
      </c>
    </row>
    <row r="85" ht="22.5" customHeight="1">
      <c r="A85" s="143" t="s">
        <v>377</v>
      </c>
      <c r="B85" s="144" t="s">
        <v>379</v>
      </c>
      <c r="C85" s="150" t="s">
        <v>226</v>
      </c>
      <c r="D85" s="144" t="s">
        <v>380</v>
      </c>
      <c r="E85" s="142" t="s">
        <v>382</v>
      </c>
      <c r="F85" s="145" t="s">
        <v>220</v>
      </c>
      <c r="G85" s="140" t="s">
        <v>469</v>
      </c>
      <c r="H85" s="140" t="s">
        <v>436</v>
      </c>
      <c r="I85" s="147"/>
      <c r="J85" s="147"/>
      <c r="K85" s="140" t="s">
        <v>1001</v>
      </c>
      <c r="L85" s="146"/>
      <c r="M85" s="146"/>
      <c r="N85" s="146"/>
      <c r="O85" s="146"/>
      <c r="P85" s="146"/>
      <c r="Q85" s="146"/>
      <c r="R85" s="145" t="s">
        <v>283</v>
      </c>
      <c r="S85" s="140" t="s">
        <v>685</v>
      </c>
      <c r="T85" s="144" t="s">
        <v>303</v>
      </c>
    </row>
    <row r="86" ht="22.5" customHeight="1">
      <c r="A86" s="143" t="s">
        <v>377</v>
      </c>
      <c r="B86" s="144" t="s">
        <v>379</v>
      </c>
      <c r="C86" s="150" t="s">
        <v>226</v>
      </c>
      <c r="D86" s="144" t="s">
        <v>380</v>
      </c>
      <c r="E86" s="142" t="s">
        <v>382</v>
      </c>
      <c r="F86" s="145" t="s">
        <v>220</v>
      </c>
      <c r="G86" s="140">
        <v>19886.0</v>
      </c>
      <c r="H86" s="140" t="s">
        <v>436</v>
      </c>
      <c r="I86" s="147"/>
      <c r="J86" s="147"/>
      <c r="K86" s="140" t="s">
        <v>1441</v>
      </c>
      <c r="L86" s="146"/>
      <c r="M86" s="146"/>
      <c r="N86" s="146"/>
      <c r="O86" s="146"/>
      <c r="P86" s="146"/>
      <c r="Q86" s="146"/>
      <c r="R86" s="145" t="s">
        <v>283</v>
      </c>
      <c r="S86" s="140" t="s">
        <v>685</v>
      </c>
      <c r="T86" s="144" t="s">
        <v>686</v>
      </c>
    </row>
    <row r="87" ht="22.5" customHeight="1">
      <c r="A87" s="143" t="s">
        <v>377</v>
      </c>
      <c r="B87" s="144" t="s">
        <v>379</v>
      </c>
      <c r="C87" s="141" t="s">
        <v>226</v>
      </c>
      <c r="D87" s="144" t="s">
        <v>380</v>
      </c>
      <c r="E87" s="142" t="s">
        <v>382</v>
      </c>
      <c r="F87" s="145" t="s">
        <v>220</v>
      </c>
      <c r="G87" s="140">
        <v>34351.0</v>
      </c>
      <c r="H87" s="140" t="s">
        <v>436</v>
      </c>
      <c r="I87" s="147"/>
      <c r="J87" s="147"/>
      <c r="K87" s="140" t="s">
        <v>1450</v>
      </c>
      <c r="L87" s="146"/>
      <c r="M87" s="146"/>
      <c r="N87" s="146"/>
      <c r="O87" s="146"/>
      <c r="P87" s="146"/>
      <c r="Q87" s="146"/>
      <c r="R87" s="145" t="s">
        <v>283</v>
      </c>
      <c r="S87" s="140" t="s">
        <v>685</v>
      </c>
      <c r="T87" s="144" t="s">
        <v>303</v>
      </c>
    </row>
    <row r="88" ht="22.5" customHeight="1">
      <c r="A88" s="143" t="s">
        <v>377</v>
      </c>
      <c r="B88" s="144" t="s">
        <v>379</v>
      </c>
      <c r="C88" s="141" t="s">
        <v>226</v>
      </c>
      <c r="D88" s="144" t="s">
        <v>380</v>
      </c>
      <c r="E88" s="142" t="s">
        <v>382</v>
      </c>
      <c r="F88" s="145" t="s">
        <v>220</v>
      </c>
      <c r="G88" s="140" t="s">
        <v>478</v>
      </c>
      <c r="H88" s="140" t="s">
        <v>477</v>
      </c>
      <c r="I88" s="147"/>
      <c r="J88" s="147"/>
      <c r="K88" s="140" t="s">
        <v>1453</v>
      </c>
      <c r="L88" s="140" t="s">
        <v>1454</v>
      </c>
      <c r="M88" s="146"/>
      <c r="N88" s="146"/>
      <c r="O88" s="146"/>
      <c r="P88" s="146"/>
      <c r="Q88" s="146"/>
      <c r="R88" s="145" t="s">
        <v>283</v>
      </c>
      <c r="S88" s="140" t="s">
        <v>685</v>
      </c>
      <c r="T88" s="144" t="s">
        <v>303</v>
      </c>
    </row>
    <row r="89" ht="22.5" customHeight="1">
      <c r="A89" s="143" t="s">
        <v>377</v>
      </c>
      <c r="B89" s="144" t="s">
        <v>379</v>
      </c>
      <c r="C89" s="141" t="s">
        <v>226</v>
      </c>
      <c r="D89" s="144" t="s">
        <v>380</v>
      </c>
      <c r="E89" s="142" t="s">
        <v>382</v>
      </c>
      <c r="F89" s="145" t="s">
        <v>220</v>
      </c>
      <c r="G89" s="140" t="s">
        <v>481</v>
      </c>
      <c r="H89" s="140" t="s">
        <v>477</v>
      </c>
      <c r="I89" s="147"/>
      <c r="J89" s="147"/>
      <c r="K89" s="140" t="s">
        <v>1461</v>
      </c>
      <c r="L89" s="146"/>
      <c r="M89" s="146"/>
      <c r="N89" s="146"/>
      <c r="O89" s="146"/>
      <c r="P89" s="146"/>
      <c r="Q89" s="146"/>
      <c r="R89" s="145" t="s">
        <v>283</v>
      </c>
      <c r="S89" s="140" t="s">
        <v>685</v>
      </c>
      <c r="T89" s="144" t="s">
        <v>303</v>
      </c>
    </row>
    <row r="90" ht="22.5" customHeight="1">
      <c r="A90" s="143" t="s">
        <v>377</v>
      </c>
      <c r="B90" s="144" t="s">
        <v>379</v>
      </c>
      <c r="C90" s="141" t="s">
        <v>226</v>
      </c>
      <c r="D90" s="144" t="s">
        <v>380</v>
      </c>
      <c r="E90" s="142" t="s">
        <v>382</v>
      </c>
      <c r="F90" s="145" t="s">
        <v>220</v>
      </c>
      <c r="G90" s="140" t="s">
        <v>485</v>
      </c>
      <c r="H90" s="140" t="s">
        <v>484</v>
      </c>
      <c r="I90" s="147"/>
      <c r="J90" s="146"/>
      <c r="K90" s="140" t="s">
        <v>1466</v>
      </c>
      <c r="L90" s="146"/>
      <c r="M90" s="146"/>
      <c r="N90" s="146"/>
      <c r="O90" s="146"/>
      <c r="P90" s="146"/>
      <c r="Q90" s="146"/>
      <c r="R90" s="145" t="s">
        <v>283</v>
      </c>
      <c r="S90" s="140" t="s">
        <v>685</v>
      </c>
      <c r="T90" s="144" t="s">
        <v>303</v>
      </c>
    </row>
    <row r="91" ht="22.5" customHeight="1">
      <c r="A91" s="143" t="s">
        <v>377</v>
      </c>
      <c r="B91" s="144" t="s">
        <v>379</v>
      </c>
      <c r="C91" s="141" t="s">
        <v>226</v>
      </c>
      <c r="D91" s="144" t="s">
        <v>380</v>
      </c>
      <c r="E91" s="142" t="s">
        <v>382</v>
      </c>
      <c r="F91" s="145" t="s">
        <v>220</v>
      </c>
      <c r="G91" s="140" t="s">
        <v>490</v>
      </c>
      <c r="H91" s="140" t="s">
        <v>488</v>
      </c>
      <c r="I91" s="147"/>
      <c r="J91" s="146"/>
      <c r="K91" s="140" t="s">
        <v>1469</v>
      </c>
      <c r="L91" s="146"/>
      <c r="M91" s="146"/>
      <c r="N91" s="146"/>
      <c r="O91" s="146"/>
      <c r="P91" s="146"/>
      <c r="Q91" s="146"/>
      <c r="R91" s="145" t="s">
        <v>283</v>
      </c>
      <c r="S91" s="140" t="s">
        <v>685</v>
      </c>
      <c r="T91" s="144" t="s">
        <v>303</v>
      </c>
    </row>
    <row r="92" ht="22.5" customHeight="1">
      <c r="A92" s="143" t="s">
        <v>377</v>
      </c>
      <c r="B92" s="144" t="s">
        <v>379</v>
      </c>
      <c r="C92" s="141" t="s">
        <v>226</v>
      </c>
      <c r="D92" s="144" t="s">
        <v>380</v>
      </c>
      <c r="E92" s="142" t="s">
        <v>382</v>
      </c>
      <c r="F92" s="145" t="s">
        <v>220</v>
      </c>
      <c r="G92" s="140" t="s">
        <v>493</v>
      </c>
      <c r="H92" s="140" t="s">
        <v>488</v>
      </c>
      <c r="I92" s="147"/>
      <c r="J92" s="147"/>
      <c r="K92" s="140" t="s">
        <v>1472</v>
      </c>
      <c r="L92" s="146"/>
      <c r="M92" s="146"/>
      <c r="N92" s="146"/>
      <c r="O92" s="146"/>
      <c r="P92" s="146"/>
      <c r="Q92" s="146"/>
      <c r="R92" s="145" t="s">
        <v>283</v>
      </c>
      <c r="S92" s="140" t="s">
        <v>685</v>
      </c>
      <c r="T92" s="144" t="s">
        <v>303</v>
      </c>
    </row>
    <row r="93" ht="22.5" customHeight="1">
      <c r="A93" s="143" t="s">
        <v>377</v>
      </c>
      <c r="B93" s="144" t="s">
        <v>379</v>
      </c>
      <c r="C93" s="141" t="s">
        <v>226</v>
      </c>
      <c r="D93" s="144" t="s">
        <v>380</v>
      </c>
      <c r="E93" s="142" t="s">
        <v>382</v>
      </c>
      <c r="F93" s="145" t="s">
        <v>220</v>
      </c>
      <c r="G93" s="140" t="s">
        <v>495</v>
      </c>
      <c r="H93" s="140" t="s">
        <v>488</v>
      </c>
      <c r="I93" s="147"/>
      <c r="J93" s="147"/>
      <c r="K93" s="140" t="s">
        <v>1469</v>
      </c>
      <c r="L93" s="146"/>
      <c r="M93" s="146"/>
      <c r="N93" s="146"/>
      <c r="O93" s="146"/>
      <c r="P93" s="146"/>
      <c r="Q93" s="146"/>
      <c r="R93" s="145" t="s">
        <v>283</v>
      </c>
      <c r="S93" s="140" t="s">
        <v>685</v>
      </c>
      <c r="T93" s="144" t="s">
        <v>303</v>
      </c>
    </row>
    <row r="94" ht="22.5" customHeight="1">
      <c r="A94" s="143" t="s">
        <v>377</v>
      </c>
      <c r="B94" s="144" t="s">
        <v>379</v>
      </c>
      <c r="C94" s="141" t="s">
        <v>226</v>
      </c>
      <c r="D94" s="144" t="s">
        <v>380</v>
      </c>
      <c r="E94" s="142" t="s">
        <v>382</v>
      </c>
      <c r="F94" s="145" t="s">
        <v>220</v>
      </c>
      <c r="G94" s="140" t="s">
        <v>500</v>
      </c>
      <c r="H94" s="140" t="s">
        <v>499</v>
      </c>
      <c r="I94" s="146"/>
      <c r="J94" s="147"/>
      <c r="K94" s="140" t="s">
        <v>1482</v>
      </c>
      <c r="L94" s="140"/>
      <c r="M94" s="146"/>
      <c r="N94" s="146"/>
      <c r="O94" s="146"/>
      <c r="P94" s="146"/>
      <c r="Q94" s="146"/>
      <c r="R94" s="145" t="s">
        <v>283</v>
      </c>
      <c r="S94" s="140" t="s">
        <v>685</v>
      </c>
      <c r="T94" s="144" t="s">
        <v>303</v>
      </c>
    </row>
    <row r="95" ht="22.5" customHeight="1">
      <c r="A95" s="143" t="s">
        <v>377</v>
      </c>
      <c r="B95" s="144" t="s">
        <v>379</v>
      </c>
      <c r="C95" s="141" t="s">
        <v>226</v>
      </c>
      <c r="D95" s="144" t="s">
        <v>380</v>
      </c>
      <c r="E95" s="142" t="s">
        <v>382</v>
      </c>
      <c r="F95" s="145" t="s">
        <v>220</v>
      </c>
      <c r="G95" s="140" t="s">
        <v>502</v>
      </c>
      <c r="H95" s="140" t="s">
        <v>499</v>
      </c>
      <c r="I95" s="147"/>
      <c r="J95" s="147">
        <v>46010.0</v>
      </c>
      <c r="K95" s="140" t="s">
        <v>1489</v>
      </c>
      <c r="L95" s="140" t="s">
        <v>1490</v>
      </c>
      <c r="M95" s="146"/>
      <c r="N95" s="146"/>
      <c r="O95" s="146"/>
      <c r="P95" s="146"/>
      <c r="Q95" s="146"/>
      <c r="R95" s="145" t="s">
        <v>283</v>
      </c>
      <c r="S95" s="140" t="s">
        <v>685</v>
      </c>
      <c r="T95" s="144" t="s">
        <v>303</v>
      </c>
    </row>
    <row r="96" ht="22.5" customHeight="1">
      <c r="A96" s="143" t="s">
        <v>377</v>
      </c>
      <c r="B96" s="144" t="s">
        <v>379</v>
      </c>
      <c r="C96" s="141" t="s">
        <v>226</v>
      </c>
      <c r="D96" s="144" t="s">
        <v>380</v>
      </c>
      <c r="E96" s="142" t="s">
        <v>382</v>
      </c>
      <c r="F96" s="145" t="s">
        <v>220</v>
      </c>
      <c r="G96" s="140">
        <v>18912.0</v>
      </c>
      <c r="H96" s="140" t="s">
        <v>499</v>
      </c>
      <c r="I96" s="147"/>
      <c r="J96" s="147"/>
      <c r="K96" s="140" t="s">
        <v>1495</v>
      </c>
      <c r="L96" s="146"/>
      <c r="M96" s="146"/>
      <c r="N96" s="146"/>
      <c r="O96" s="146"/>
      <c r="P96" s="146"/>
      <c r="Q96" s="146"/>
      <c r="R96" s="145" t="s">
        <v>283</v>
      </c>
      <c r="S96" s="140" t="s">
        <v>685</v>
      </c>
      <c r="T96" s="144" t="s">
        <v>686</v>
      </c>
    </row>
    <row r="97" ht="22.5" customHeight="1">
      <c r="A97" s="143" t="s">
        <v>377</v>
      </c>
      <c r="B97" s="144" t="s">
        <v>379</v>
      </c>
      <c r="C97" s="141" t="s">
        <v>226</v>
      </c>
      <c r="D97" s="144" t="s">
        <v>380</v>
      </c>
      <c r="E97" s="142" t="s">
        <v>382</v>
      </c>
      <c r="F97" s="145" t="s">
        <v>220</v>
      </c>
      <c r="G97" s="166" t="s">
        <v>819</v>
      </c>
      <c r="H97" s="140" t="s">
        <v>506</v>
      </c>
      <c r="I97" s="147"/>
      <c r="J97" s="147"/>
      <c r="K97" s="140" t="s">
        <v>1498</v>
      </c>
      <c r="L97" s="146"/>
      <c r="M97" s="146"/>
      <c r="N97" s="146"/>
      <c r="O97" s="146"/>
      <c r="P97" s="146"/>
      <c r="Q97" s="146"/>
      <c r="R97" s="145" t="s">
        <v>283</v>
      </c>
      <c r="S97" s="140" t="s">
        <v>685</v>
      </c>
      <c r="T97" s="144" t="s">
        <v>686</v>
      </c>
    </row>
    <row r="98" ht="22.5" customHeight="1">
      <c r="A98" s="143" t="s">
        <v>377</v>
      </c>
      <c r="B98" s="144" t="s">
        <v>379</v>
      </c>
      <c r="C98" s="141" t="s">
        <v>226</v>
      </c>
      <c r="D98" s="144" t="s">
        <v>380</v>
      </c>
      <c r="E98" s="142" t="s">
        <v>382</v>
      </c>
      <c r="F98" s="145" t="s">
        <v>220</v>
      </c>
      <c r="G98" s="166" t="s">
        <v>507</v>
      </c>
      <c r="H98" s="140" t="s">
        <v>506</v>
      </c>
      <c r="I98" s="146"/>
      <c r="J98" s="147"/>
      <c r="K98" s="140" t="s">
        <v>1466</v>
      </c>
      <c r="L98" s="140"/>
      <c r="M98" s="140"/>
      <c r="N98" s="146"/>
      <c r="O98" s="146"/>
      <c r="P98" s="146"/>
      <c r="Q98" s="146"/>
      <c r="R98" s="145" t="s">
        <v>283</v>
      </c>
      <c r="S98" s="140" t="s">
        <v>685</v>
      </c>
      <c r="T98" s="144" t="s">
        <v>303</v>
      </c>
    </row>
    <row r="99" ht="22.5" customHeight="1">
      <c r="A99" s="143" t="s">
        <v>377</v>
      </c>
      <c r="B99" s="144" t="s">
        <v>379</v>
      </c>
      <c r="C99" s="141" t="s">
        <v>226</v>
      </c>
      <c r="D99" s="144" t="s">
        <v>380</v>
      </c>
      <c r="E99" s="142" t="s">
        <v>382</v>
      </c>
      <c r="F99" s="187" t="s">
        <v>220</v>
      </c>
      <c r="G99" s="140" t="s">
        <v>511</v>
      </c>
      <c r="H99" s="166" t="s">
        <v>510</v>
      </c>
      <c r="I99" s="188"/>
      <c r="J99" s="188"/>
      <c r="K99" s="140" t="s">
        <v>1461</v>
      </c>
      <c r="L99" s="140"/>
      <c r="M99" s="189"/>
      <c r="N99" s="166"/>
      <c r="O99" s="166"/>
      <c r="P99" s="166"/>
      <c r="Q99" s="166"/>
      <c r="R99" s="187" t="s">
        <v>283</v>
      </c>
      <c r="S99" s="140" t="s">
        <v>685</v>
      </c>
      <c r="T99" s="144" t="s">
        <v>303</v>
      </c>
    </row>
    <row r="100" ht="22.5" customHeight="1">
      <c r="A100" s="143" t="s">
        <v>377</v>
      </c>
      <c r="B100" s="144" t="s">
        <v>379</v>
      </c>
      <c r="C100" s="141" t="s">
        <v>226</v>
      </c>
      <c r="D100" s="144" t="s">
        <v>380</v>
      </c>
      <c r="E100" s="142" t="s">
        <v>382</v>
      </c>
      <c r="F100" s="187" t="s">
        <v>220</v>
      </c>
      <c r="G100" s="166" t="s">
        <v>513</v>
      </c>
      <c r="H100" s="166" t="s">
        <v>412</v>
      </c>
      <c r="I100" s="188"/>
      <c r="J100" s="188"/>
      <c r="K100" s="140" t="s">
        <v>1502</v>
      </c>
      <c r="L100" s="140" t="s">
        <v>1503</v>
      </c>
      <c r="M100" s="146"/>
      <c r="N100" s="190"/>
      <c r="O100" s="190"/>
      <c r="P100" s="190"/>
      <c r="Q100" s="166"/>
      <c r="R100" s="187" t="s">
        <v>283</v>
      </c>
      <c r="S100" s="140" t="s">
        <v>685</v>
      </c>
      <c r="T100" s="144" t="s">
        <v>303</v>
      </c>
    </row>
    <row r="101" ht="22.5" customHeight="1">
      <c r="A101" s="143" t="s">
        <v>377</v>
      </c>
      <c r="B101" s="144" t="s">
        <v>379</v>
      </c>
      <c r="C101" s="141" t="s">
        <v>226</v>
      </c>
      <c r="D101" s="144" t="s">
        <v>380</v>
      </c>
      <c r="E101" s="142" t="s">
        <v>382</v>
      </c>
      <c r="F101" s="187" t="s">
        <v>220</v>
      </c>
      <c r="G101" s="166" t="s">
        <v>518</v>
      </c>
      <c r="H101" s="166" t="s">
        <v>412</v>
      </c>
      <c r="I101" s="188"/>
      <c r="J101" s="188"/>
      <c r="K101" s="191" t="s">
        <v>1466</v>
      </c>
      <c r="L101" s="191"/>
      <c r="M101" s="191"/>
      <c r="N101" s="166"/>
      <c r="O101" s="166"/>
      <c r="P101" s="166"/>
      <c r="Q101" s="166"/>
      <c r="R101" s="187" t="s">
        <v>283</v>
      </c>
      <c r="S101" s="140" t="s">
        <v>685</v>
      </c>
      <c r="T101" s="144" t="s">
        <v>303</v>
      </c>
    </row>
    <row r="102" ht="22.5" customHeight="1">
      <c r="A102" s="143" t="s">
        <v>377</v>
      </c>
      <c r="B102" s="144" t="s">
        <v>379</v>
      </c>
      <c r="C102" s="141" t="s">
        <v>226</v>
      </c>
      <c r="D102" s="144" t="s">
        <v>380</v>
      </c>
      <c r="E102" s="142" t="s">
        <v>382</v>
      </c>
      <c r="F102" s="187" t="s">
        <v>220</v>
      </c>
      <c r="G102" s="166" t="s">
        <v>523</v>
      </c>
      <c r="H102" s="166" t="s">
        <v>412</v>
      </c>
      <c r="I102" s="188"/>
      <c r="J102" s="188"/>
      <c r="K102" s="191" t="s">
        <v>1507</v>
      </c>
      <c r="L102" s="191"/>
      <c r="M102" s="191"/>
      <c r="N102" s="166"/>
      <c r="O102" s="166"/>
      <c r="P102" s="166"/>
      <c r="Q102" s="166"/>
      <c r="R102" s="187" t="s">
        <v>283</v>
      </c>
      <c r="S102" s="140" t="s">
        <v>685</v>
      </c>
      <c r="T102" s="144" t="s">
        <v>303</v>
      </c>
    </row>
    <row r="103" ht="22.5" customHeight="1">
      <c r="A103" s="143" t="s">
        <v>377</v>
      </c>
      <c r="B103" s="144" t="s">
        <v>379</v>
      </c>
      <c r="C103" s="141" t="s">
        <v>226</v>
      </c>
      <c r="D103" s="144" t="s">
        <v>380</v>
      </c>
      <c r="E103" s="142" t="s">
        <v>382</v>
      </c>
      <c r="F103" s="187" t="s">
        <v>220</v>
      </c>
      <c r="G103" s="166" t="s">
        <v>524</v>
      </c>
      <c r="H103" s="166" t="s">
        <v>154</v>
      </c>
      <c r="I103" s="188"/>
      <c r="J103" s="188"/>
      <c r="K103" s="191" t="s">
        <v>1507</v>
      </c>
      <c r="L103" s="191"/>
      <c r="M103" s="191"/>
      <c r="N103" s="166"/>
      <c r="O103" s="166"/>
      <c r="P103" s="166"/>
      <c r="Q103" s="166"/>
      <c r="R103" s="187" t="s">
        <v>283</v>
      </c>
      <c r="S103" s="140" t="s">
        <v>685</v>
      </c>
      <c r="T103" s="144" t="s">
        <v>303</v>
      </c>
    </row>
    <row r="104" ht="22.5" customHeight="1">
      <c r="A104" s="143" t="s">
        <v>377</v>
      </c>
      <c r="B104" s="144" t="s">
        <v>379</v>
      </c>
      <c r="C104" s="141" t="s">
        <v>226</v>
      </c>
      <c r="D104" s="144" t="s">
        <v>380</v>
      </c>
      <c r="E104" s="142" t="s">
        <v>382</v>
      </c>
      <c r="F104" s="187" t="s">
        <v>220</v>
      </c>
      <c r="G104" s="166" t="s">
        <v>526</v>
      </c>
      <c r="H104" s="166" t="s">
        <v>154</v>
      </c>
      <c r="I104" s="188"/>
      <c r="J104" s="188"/>
      <c r="K104" s="140" t="s">
        <v>1507</v>
      </c>
      <c r="L104" s="140" t="s">
        <v>844</v>
      </c>
      <c r="M104" s="189"/>
      <c r="N104" s="166"/>
      <c r="O104" s="166"/>
      <c r="P104" s="166"/>
      <c r="Q104" s="166"/>
      <c r="R104" s="187" t="s">
        <v>283</v>
      </c>
      <c r="S104" s="140" t="s">
        <v>685</v>
      </c>
      <c r="T104" s="144" t="s">
        <v>303</v>
      </c>
    </row>
    <row r="105" ht="22.5" customHeight="1">
      <c r="A105" s="143" t="s">
        <v>377</v>
      </c>
      <c r="B105" s="144" t="s">
        <v>379</v>
      </c>
      <c r="C105" s="141" t="s">
        <v>226</v>
      </c>
      <c r="D105" s="144" t="s">
        <v>380</v>
      </c>
      <c r="E105" s="142" t="s">
        <v>382</v>
      </c>
      <c r="F105" s="187" t="s">
        <v>220</v>
      </c>
      <c r="G105" s="166" t="s">
        <v>529</v>
      </c>
      <c r="H105" s="166" t="s">
        <v>154</v>
      </c>
      <c r="I105" s="188"/>
      <c r="J105" s="147"/>
      <c r="K105" s="140" t="s">
        <v>1507</v>
      </c>
      <c r="L105" s="140" t="s">
        <v>844</v>
      </c>
      <c r="M105" s="189"/>
      <c r="N105" s="166"/>
      <c r="O105" s="166"/>
      <c r="P105" s="166"/>
      <c r="Q105" s="166"/>
      <c r="R105" s="187" t="s">
        <v>283</v>
      </c>
      <c r="S105" s="140" t="s">
        <v>685</v>
      </c>
      <c r="T105" s="144" t="s">
        <v>303</v>
      </c>
    </row>
    <row r="106" ht="22.5" customHeight="1">
      <c r="A106" s="143" t="s">
        <v>377</v>
      </c>
      <c r="B106" s="144" t="s">
        <v>379</v>
      </c>
      <c r="C106" s="141" t="s">
        <v>226</v>
      </c>
      <c r="D106" s="144" t="s">
        <v>380</v>
      </c>
      <c r="E106" s="142" t="s">
        <v>382</v>
      </c>
      <c r="F106" s="187" t="s">
        <v>220</v>
      </c>
      <c r="G106" s="140" t="s">
        <v>536</v>
      </c>
      <c r="H106" s="140" t="s">
        <v>480</v>
      </c>
      <c r="I106" s="188"/>
      <c r="J106" s="147"/>
      <c r="K106" s="140" t="s">
        <v>1518</v>
      </c>
      <c r="L106" s="146"/>
      <c r="M106" s="189"/>
      <c r="N106" s="166"/>
      <c r="O106" s="166"/>
      <c r="P106" s="166"/>
      <c r="Q106" s="166"/>
      <c r="R106" s="187" t="s">
        <v>283</v>
      </c>
      <c r="S106" s="140" t="s">
        <v>685</v>
      </c>
      <c r="T106" s="144" t="s">
        <v>303</v>
      </c>
    </row>
    <row r="107" ht="22.5" customHeight="1">
      <c r="A107" s="143" t="s">
        <v>377</v>
      </c>
      <c r="B107" s="144" t="s">
        <v>379</v>
      </c>
      <c r="C107" s="141" t="s">
        <v>226</v>
      </c>
      <c r="D107" s="144" t="s">
        <v>380</v>
      </c>
      <c r="E107" s="142" t="s">
        <v>382</v>
      </c>
      <c r="F107" s="187" t="s">
        <v>220</v>
      </c>
      <c r="G107" s="140" t="s">
        <v>540</v>
      </c>
      <c r="H107" s="140" t="s">
        <v>480</v>
      </c>
      <c r="I107" s="188"/>
      <c r="J107" s="188"/>
      <c r="K107" s="140" t="s">
        <v>1522</v>
      </c>
      <c r="L107" s="140"/>
      <c r="M107" s="140"/>
      <c r="N107" s="166"/>
      <c r="O107" s="166"/>
      <c r="P107" s="166"/>
      <c r="Q107" s="166"/>
      <c r="R107" s="187" t="s">
        <v>283</v>
      </c>
      <c r="S107" s="140" t="s">
        <v>685</v>
      </c>
      <c r="T107" s="144" t="s">
        <v>303</v>
      </c>
    </row>
    <row r="108" ht="22.5" customHeight="1">
      <c r="A108" s="143" t="s">
        <v>377</v>
      </c>
      <c r="B108" s="144" t="s">
        <v>379</v>
      </c>
      <c r="C108" s="141" t="s">
        <v>226</v>
      </c>
      <c r="D108" s="144" t="s">
        <v>380</v>
      </c>
      <c r="E108" s="142" t="s">
        <v>382</v>
      </c>
      <c r="F108" s="187" t="s">
        <v>220</v>
      </c>
      <c r="G108" s="140" t="s">
        <v>546</v>
      </c>
      <c r="H108" s="140" t="s">
        <v>480</v>
      </c>
      <c r="I108" s="188"/>
      <c r="J108" s="188"/>
      <c r="K108" s="140" t="s">
        <v>1528</v>
      </c>
      <c r="L108" s="140" t="s">
        <v>844</v>
      </c>
      <c r="M108" s="189"/>
      <c r="N108" s="166"/>
      <c r="O108" s="166"/>
      <c r="P108" s="166"/>
      <c r="Q108" s="166"/>
      <c r="R108" s="187" t="s">
        <v>283</v>
      </c>
      <c r="S108" s="140" t="s">
        <v>685</v>
      </c>
      <c r="T108" s="144" t="s">
        <v>303</v>
      </c>
    </row>
    <row r="109" ht="22.5" customHeight="1">
      <c r="A109" s="143" t="s">
        <v>377</v>
      </c>
      <c r="B109" s="144" t="s">
        <v>379</v>
      </c>
      <c r="C109" s="141" t="s">
        <v>226</v>
      </c>
      <c r="D109" s="144" t="s">
        <v>380</v>
      </c>
      <c r="E109" s="142" t="s">
        <v>382</v>
      </c>
      <c r="F109" s="187" t="s">
        <v>220</v>
      </c>
      <c r="G109" s="166" t="s">
        <v>754</v>
      </c>
      <c r="H109" s="166" t="s">
        <v>753</v>
      </c>
      <c r="I109" s="188"/>
      <c r="J109" s="188"/>
      <c r="K109" s="140" t="s">
        <v>1532</v>
      </c>
      <c r="L109" s="146"/>
      <c r="M109" s="189"/>
      <c r="N109" s="166"/>
      <c r="O109" s="166"/>
      <c r="P109" s="166"/>
      <c r="Q109" s="166"/>
      <c r="R109" s="187" t="s">
        <v>283</v>
      </c>
      <c r="S109" s="140" t="s">
        <v>685</v>
      </c>
      <c r="T109" s="144" t="s">
        <v>686</v>
      </c>
    </row>
    <row r="110" ht="22.5" customHeight="1">
      <c r="A110" s="143" t="s">
        <v>377</v>
      </c>
      <c r="B110" s="144" t="s">
        <v>379</v>
      </c>
      <c r="C110" s="141" t="s">
        <v>226</v>
      </c>
      <c r="D110" s="144" t="s">
        <v>380</v>
      </c>
      <c r="E110" s="142" t="s">
        <v>382</v>
      </c>
      <c r="F110" s="187" t="s">
        <v>220</v>
      </c>
      <c r="G110" s="140" t="s">
        <v>553</v>
      </c>
      <c r="H110" s="140" t="s">
        <v>515</v>
      </c>
      <c r="I110" s="188"/>
      <c r="J110" s="147">
        <v>45994.0</v>
      </c>
      <c r="K110" s="140" t="s">
        <v>1507</v>
      </c>
      <c r="L110" s="140"/>
      <c r="M110" s="189"/>
      <c r="N110" s="166"/>
      <c r="O110" s="166"/>
      <c r="P110" s="166"/>
      <c r="Q110" s="166"/>
      <c r="R110" s="187" t="s">
        <v>283</v>
      </c>
      <c r="S110" s="140" t="s">
        <v>685</v>
      </c>
      <c r="T110" s="144" t="s">
        <v>303</v>
      </c>
    </row>
    <row r="111" ht="22.5" customHeight="1">
      <c r="A111" s="143" t="s">
        <v>377</v>
      </c>
      <c r="B111" s="144" t="s">
        <v>379</v>
      </c>
      <c r="C111" s="141" t="s">
        <v>226</v>
      </c>
      <c r="D111" s="144" t="s">
        <v>380</v>
      </c>
      <c r="E111" s="142" t="s">
        <v>382</v>
      </c>
      <c r="F111" s="187" t="s">
        <v>220</v>
      </c>
      <c r="G111" s="140" t="s">
        <v>557</v>
      </c>
      <c r="H111" s="140" t="s">
        <v>492</v>
      </c>
      <c r="I111" s="188"/>
      <c r="J111" s="188"/>
      <c r="K111" s="166" t="s">
        <v>1537</v>
      </c>
      <c r="L111" s="166"/>
      <c r="M111" s="166"/>
      <c r="N111" s="166"/>
      <c r="O111" s="166"/>
      <c r="P111" s="166"/>
      <c r="Q111" s="166"/>
      <c r="R111" s="187" t="s">
        <v>283</v>
      </c>
      <c r="S111" s="140" t="s">
        <v>685</v>
      </c>
      <c r="T111" s="144" t="s">
        <v>303</v>
      </c>
    </row>
    <row r="112" ht="22.5" customHeight="1">
      <c r="A112" s="143" t="s">
        <v>377</v>
      </c>
      <c r="B112" s="144" t="s">
        <v>379</v>
      </c>
      <c r="C112" s="141" t="s">
        <v>226</v>
      </c>
      <c r="D112" s="144" t="s">
        <v>380</v>
      </c>
      <c r="E112" s="142" t="s">
        <v>382</v>
      </c>
      <c r="F112" s="187" t="s">
        <v>220</v>
      </c>
      <c r="G112" s="166" t="s">
        <v>565</v>
      </c>
      <c r="H112" s="140" t="s">
        <v>336</v>
      </c>
      <c r="I112" s="188"/>
      <c r="J112" s="188"/>
      <c r="K112" s="166" t="s">
        <v>1541</v>
      </c>
      <c r="L112" s="166" t="s">
        <v>1542</v>
      </c>
      <c r="M112" s="166"/>
      <c r="N112" s="166"/>
      <c r="O112" s="166"/>
      <c r="P112" s="166"/>
      <c r="Q112" s="166"/>
      <c r="R112" s="187" t="s">
        <v>283</v>
      </c>
      <c r="S112" s="140" t="s">
        <v>685</v>
      </c>
      <c r="T112" s="144" t="s">
        <v>303</v>
      </c>
    </row>
    <row r="113" ht="22.5" customHeight="1">
      <c r="A113" s="143" t="s">
        <v>377</v>
      </c>
      <c r="B113" s="144" t="s">
        <v>379</v>
      </c>
      <c r="C113" s="141" t="s">
        <v>226</v>
      </c>
      <c r="D113" s="144" t="s">
        <v>380</v>
      </c>
      <c r="E113" s="142" t="s">
        <v>382</v>
      </c>
      <c r="F113" s="187" t="s">
        <v>220</v>
      </c>
      <c r="G113" s="140" t="s">
        <v>570</v>
      </c>
      <c r="H113" s="140" t="s">
        <v>336</v>
      </c>
      <c r="I113" s="188"/>
      <c r="J113" s="188"/>
      <c r="K113" s="140" t="s">
        <v>1544</v>
      </c>
      <c r="L113" s="140" t="s">
        <v>1545</v>
      </c>
      <c r="M113" s="166"/>
      <c r="N113" s="166"/>
      <c r="O113" s="166"/>
      <c r="P113" s="166"/>
      <c r="Q113" s="166"/>
      <c r="R113" s="187" t="s">
        <v>283</v>
      </c>
      <c r="S113" s="140" t="s">
        <v>685</v>
      </c>
      <c r="T113" s="144" t="s">
        <v>303</v>
      </c>
    </row>
    <row r="114" ht="22.5" customHeight="1">
      <c r="A114" s="143" t="s">
        <v>377</v>
      </c>
      <c r="B114" s="144" t="s">
        <v>379</v>
      </c>
      <c r="C114" s="141" t="s">
        <v>226</v>
      </c>
      <c r="D114" s="144" t="s">
        <v>380</v>
      </c>
      <c r="E114" s="142" t="s">
        <v>382</v>
      </c>
      <c r="F114" s="187" t="s">
        <v>220</v>
      </c>
      <c r="G114" s="140" t="s">
        <v>574</v>
      </c>
      <c r="H114" s="140" t="s">
        <v>201</v>
      </c>
      <c r="I114" s="188"/>
      <c r="J114" s="188"/>
      <c r="K114" s="166" t="s">
        <v>1563</v>
      </c>
      <c r="L114" s="166" t="s">
        <v>1564</v>
      </c>
      <c r="M114" s="166"/>
      <c r="N114" s="166"/>
      <c r="O114" s="166"/>
      <c r="P114" s="166"/>
      <c r="Q114" s="166"/>
      <c r="R114" s="187" t="s">
        <v>283</v>
      </c>
      <c r="S114" s="140" t="s">
        <v>685</v>
      </c>
      <c r="T114" s="144" t="s">
        <v>303</v>
      </c>
    </row>
    <row r="115" ht="22.5" customHeight="1">
      <c r="A115" s="143" t="s">
        <v>377</v>
      </c>
      <c r="B115" s="144" t="s">
        <v>379</v>
      </c>
      <c r="C115" s="141" t="s">
        <v>226</v>
      </c>
      <c r="D115" s="144" t="s">
        <v>380</v>
      </c>
      <c r="E115" s="142" t="s">
        <v>382</v>
      </c>
      <c r="F115" s="187" t="s">
        <v>220</v>
      </c>
      <c r="G115" s="140" t="s">
        <v>580</v>
      </c>
      <c r="H115" s="140" t="s">
        <v>451</v>
      </c>
      <c r="I115" s="188"/>
      <c r="J115" s="188"/>
      <c r="K115" s="166" t="s">
        <v>1571</v>
      </c>
      <c r="L115" s="166"/>
      <c r="M115" s="166"/>
      <c r="N115" s="166"/>
      <c r="O115" s="166"/>
      <c r="P115" s="166"/>
      <c r="Q115" s="166"/>
      <c r="R115" s="187" t="s">
        <v>283</v>
      </c>
      <c r="S115" s="140" t="s">
        <v>685</v>
      </c>
      <c r="T115" s="144" t="s">
        <v>303</v>
      </c>
    </row>
    <row r="116" ht="22.5" customHeight="1">
      <c r="A116" s="143" t="s">
        <v>377</v>
      </c>
      <c r="B116" s="144" t="s">
        <v>379</v>
      </c>
      <c r="C116" s="141" t="s">
        <v>226</v>
      </c>
      <c r="D116" s="144" t="s">
        <v>380</v>
      </c>
      <c r="E116" s="142" t="s">
        <v>382</v>
      </c>
      <c r="F116" s="187" t="s">
        <v>220</v>
      </c>
      <c r="G116" s="140" t="s">
        <v>588</v>
      </c>
      <c r="H116" s="140" t="s">
        <v>584</v>
      </c>
      <c r="I116" s="188"/>
      <c r="J116" s="188"/>
      <c r="K116" s="166" t="s">
        <v>1575</v>
      </c>
      <c r="L116" s="166"/>
      <c r="M116" s="166"/>
      <c r="N116" s="166"/>
      <c r="O116" s="166"/>
      <c r="P116" s="166"/>
      <c r="Q116" s="166"/>
      <c r="R116" s="187" t="s">
        <v>283</v>
      </c>
      <c r="S116" s="140" t="s">
        <v>685</v>
      </c>
      <c r="T116" s="144" t="s">
        <v>303</v>
      </c>
    </row>
    <row r="117" ht="22.5" customHeight="1">
      <c r="A117" s="143" t="s">
        <v>377</v>
      </c>
      <c r="B117" s="144" t="s">
        <v>379</v>
      </c>
      <c r="C117" s="141" t="s">
        <v>226</v>
      </c>
      <c r="D117" s="144" t="s">
        <v>380</v>
      </c>
      <c r="E117" s="142" t="s">
        <v>382</v>
      </c>
      <c r="F117" s="187" t="s">
        <v>220</v>
      </c>
      <c r="G117" s="166" t="s">
        <v>592</v>
      </c>
      <c r="H117" s="140" t="s">
        <v>297</v>
      </c>
      <c r="I117" s="188"/>
      <c r="J117" s="147"/>
      <c r="K117" s="140" t="s">
        <v>1599</v>
      </c>
      <c r="L117" s="140"/>
      <c r="M117" s="166"/>
      <c r="N117" s="166"/>
      <c r="O117" s="166"/>
      <c r="P117" s="166"/>
      <c r="Q117" s="166"/>
      <c r="R117" s="187" t="s">
        <v>283</v>
      </c>
      <c r="S117" s="140" t="s">
        <v>685</v>
      </c>
      <c r="T117" s="144" t="s">
        <v>303</v>
      </c>
    </row>
    <row r="118" ht="22.5" customHeight="1">
      <c r="A118" s="143" t="s">
        <v>377</v>
      </c>
      <c r="B118" s="144" t="s">
        <v>379</v>
      </c>
      <c r="C118" s="141" t="s">
        <v>226</v>
      </c>
      <c r="D118" s="144" t="s">
        <v>380</v>
      </c>
      <c r="E118" s="142" t="s">
        <v>382</v>
      </c>
      <c r="F118" s="187" t="s">
        <v>220</v>
      </c>
      <c r="G118" s="140" t="s">
        <v>597</v>
      </c>
      <c r="H118" s="166" t="s">
        <v>297</v>
      </c>
      <c r="I118" s="188"/>
      <c r="J118" s="188"/>
      <c r="K118" s="140" t="s">
        <v>1609</v>
      </c>
      <c r="L118" s="140"/>
      <c r="M118" s="166"/>
      <c r="N118" s="166"/>
      <c r="O118" s="166"/>
      <c r="P118" s="166"/>
      <c r="Q118" s="166"/>
      <c r="R118" s="187" t="s">
        <v>283</v>
      </c>
      <c r="S118" s="140" t="s">
        <v>685</v>
      </c>
      <c r="T118" s="144" t="s">
        <v>303</v>
      </c>
    </row>
    <row r="119" ht="22.5" customHeight="1">
      <c r="A119" s="143" t="s">
        <v>377</v>
      </c>
      <c r="B119" s="144" t="s">
        <v>379</v>
      </c>
      <c r="C119" s="141" t="s">
        <v>226</v>
      </c>
      <c r="D119" s="144" t="s">
        <v>380</v>
      </c>
      <c r="E119" s="142" t="s">
        <v>382</v>
      </c>
      <c r="F119" s="187" t="s">
        <v>220</v>
      </c>
      <c r="G119" s="140" t="s">
        <v>759</v>
      </c>
      <c r="H119" s="140" t="s">
        <v>297</v>
      </c>
      <c r="I119" s="188"/>
      <c r="J119" s="147"/>
      <c r="K119" s="140"/>
      <c r="L119" s="146"/>
      <c r="M119" s="189"/>
      <c r="N119" s="166"/>
      <c r="O119" s="166"/>
      <c r="P119" s="166"/>
      <c r="Q119" s="166"/>
      <c r="R119" s="187" t="s">
        <v>283</v>
      </c>
      <c r="S119" s="140"/>
      <c r="T119" s="245"/>
    </row>
    <row r="120" ht="22.5" customHeight="1">
      <c r="A120" s="143" t="s">
        <v>377</v>
      </c>
      <c r="B120" s="144" t="s">
        <v>379</v>
      </c>
      <c r="C120" s="141" t="s">
        <v>226</v>
      </c>
      <c r="D120" s="144" t="s">
        <v>380</v>
      </c>
      <c r="E120" s="142" t="s">
        <v>382</v>
      </c>
      <c r="F120" s="187" t="s">
        <v>220</v>
      </c>
      <c r="G120" s="166" t="s">
        <v>601</v>
      </c>
      <c r="H120" s="166" t="s">
        <v>107</v>
      </c>
      <c r="I120" s="188"/>
      <c r="J120" s="188"/>
      <c r="K120" s="140" t="s">
        <v>1609</v>
      </c>
      <c r="L120" s="140"/>
      <c r="M120" s="166"/>
      <c r="N120" s="166"/>
      <c r="O120" s="166"/>
      <c r="P120" s="166"/>
      <c r="Q120" s="166"/>
      <c r="R120" s="187" t="s">
        <v>283</v>
      </c>
      <c r="S120" s="140" t="s">
        <v>685</v>
      </c>
      <c r="T120" s="144" t="s">
        <v>303</v>
      </c>
    </row>
    <row r="121" ht="22.5" customHeight="1">
      <c r="A121" s="143" t="s">
        <v>377</v>
      </c>
      <c r="B121" s="144" t="s">
        <v>379</v>
      </c>
      <c r="C121" s="141" t="s">
        <v>226</v>
      </c>
      <c r="D121" s="144" t="s">
        <v>380</v>
      </c>
      <c r="E121" s="142" t="s">
        <v>382</v>
      </c>
      <c r="F121" s="187" t="s">
        <v>220</v>
      </c>
      <c r="G121" s="166" t="s">
        <v>608</v>
      </c>
      <c r="H121" s="166" t="s">
        <v>98</v>
      </c>
      <c r="I121" s="188"/>
      <c r="J121" s="147"/>
      <c r="K121" s="140" t="s">
        <v>1609</v>
      </c>
      <c r="L121" s="140"/>
      <c r="M121" s="166"/>
      <c r="N121" s="166"/>
      <c r="O121" s="166"/>
      <c r="P121" s="166"/>
      <c r="Q121" s="166"/>
      <c r="R121" s="187" t="s">
        <v>283</v>
      </c>
      <c r="S121" s="140" t="s">
        <v>685</v>
      </c>
      <c r="T121" s="144" t="s">
        <v>303</v>
      </c>
    </row>
    <row r="122" ht="22.5" customHeight="1">
      <c r="A122" s="143" t="s">
        <v>377</v>
      </c>
      <c r="B122" s="144" t="s">
        <v>379</v>
      </c>
      <c r="C122" s="141" t="s">
        <v>226</v>
      </c>
      <c r="D122" s="144" t="s">
        <v>380</v>
      </c>
      <c r="E122" s="142" t="s">
        <v>382</v>
      </c>
      <c r="F122" s="187" t="s">
        <v>220</v>
      </c>
      <c r="G122" s="166" t="s">
        <v>612</v>
      </c>
      <c r="H122" s="166" t="s">
        <v>98</v>
      </c>
      <c r="I122" s="188"/>
      <c r="J122" s="262"/>
      <c r="K122" s="140" t="s">
        <v>1654</v>
      </c>
      <c r="L122" s="140" t="s">
        <v>1545</v>
      </c>
      <c r="M122" s="189"/>
      <c r="N122" s="166"/>
      <c r="O122" s="166"/>
      <c r="P122" s="166"/>
      <c r="Q122" s="166"/>
      <c r="R122" s="187" t="s">
        <v>283</v>
      </c>
      <c r="S122" s="140" t="s">
        <v>685</v>
      </c>
      <c r="T122" s="144" t="s">
        <v>303</v>
      </c>
    </row>
    <row r="123" ht="22.5" customHeight="1">
      <c r="A123" s="143" t="s">
        <v>377</v>
      </c>
      <c r="B123" s="144" t="s">
        <v>379</v>
      </c>
      <c r="C123" s="141" t="s">
        <v>226</v>
      </c>
      <c r="D123" s="144" t="s">
        <v>380</v>
      </c>
      <c r="E123" s="142" t="s">
        <v>382</v>
      </c>
      <c r="F123" s="187" t="s">
        <v>220</v>
      </c>
      <c r="G123" s="166" t="s">
        <v>620</v>
      </c>
      <c r="H123" s="166" t="s">
        <v>98</v>
      </c>
      <c r="I123" s="188"/>
      <c r="J123" s="147"/>
      <c r="K123" s="140" t="s">
        <v>1671</v>
      </c>
      <c r="L123" s="140" t="s">
        <v>1545</v>
      </c>
      <c r="M123" s="166"/>
      <c r="N123" s="166"/>
      <c r="O123" s="166"/>
      <c r="P123" s="166"/>
      <c r="Q123" s="166"/>
      <c r="R123" s="187" t="s">
        <v>283</v>
      </c>
      <c r="S123" s="140" t="s">
        <v>685</v>
      </c>
      <c r="T123" s="144" t="s">
        <v>303</v>
      </c>
    </row>
    <row r="124" ht="22.5" customHeight="1">
      <c r="A124" s="143" t="s">
        <v>377</v>
      </c>
      <c r="B124" s="144" t="s">
        <v>379</v>
      </c>
      <c r="C124" s="141" t="s">
        <v>226</v>
      </c>
      <c r="D124" s="144" t="s">
        <v>380</v>
      </c>
      <c r="E124" s="142" t="s">
        <v>382</v>
      </c>
      <c r="F124" s="187" t="s">
        <v>220</v>
      </c>
      <c r="G124" s="166" t="s">
        <v>736</v>
      </c>
      <c r="H124" s="166" t="s">
        <v>98</v>
      </c>
      <c r="I124" s="188"/>
      <c r="J124" s="147"/>
      <c r="K124" s="140" t="s">
        <v>1685</v>
      </c>
      <c r="L124" s="140"/>
      <c r="M124" s="166"/>
      <c r="N124" s="166"/>
      <c r="O124" s="166"/>
      <c r="P124" s="166"/>
      <c r="Q124" s="166"/>
      <c r="R124" s="187" t="s">
        <v>283</v>
      </c>
      <c r="S124" s="140" t="s">
        <v>685</v>
      </c>
      <c r="T124" s="144" t="s">
        <v>686</v>
      </c>
    </row>
    <row r="125" ht="22.5" customHeight="1">
      <c r="A125" s="143" t="s">
        <v>377</v>
      </c>
      <c r="B125" s="144" t="s">
        <v>379</v>
      </c>
      <c r="C125" s="141" t="s">
        <v>226</v>
      </c>
      <c r="D125" s="144" t="s">
        <v>380</v>
      </c>
      <c r="E125" s="142" t="s">
        <v>1689</v>
      </c>
      <c r="F125" s="187" t="s">
        <v>220</v>
      </c>
      <c r="G125" s="166" t="s">
        <v>739</v>
      </c>
      <c r="H125" s="166" t="s">
        <v>98</v>
      </c>
      <c r="I125" s="188"/>
      <c r="J125" s="147"/>
      <c r="K125" s="140" t="s">
        <v>1690</v>
      </c>
      <c r="L125" s="140"/>
      <c r="M125" s="166"/>
      <c r="N125" s="166"/>
      <c r="O125" s="166"/>
      <c r="P125" s="166"/>
      <c r="Q125" s="166"/>
      <c r="R125" s="187" t="s">
        <v>283</v>
      </c>
      <c r="S125" s="140" t="s">
        <v>685</v>
      </c>
      <c r="T125" s="144" t="s">
        <v>686</v>
      </c>
    </row>
    <row r="126" ht="22.5" customHeight="1">
      <c r="A126" s="143" t="s">
        <v>377</v>
      </c>
      <c r="B126" s="144" t="s">
        <v>379</v>
      </c>
      <c r="C126" s="268" t="s">
        <v>226</v>
      </c>
      <c r="D126" s="144" t="s">
        <v>380</v>
      </c>
      <c r="E126" s="142" t="s">
        <v>382</v>
      </c>
      <c r="F126" s="187" t="s">
        <v>220</v>
      </c>
      <c r="G126" s="166" t="s">
        <v>625</v>
      </c>
      <c r="H126" s="166" t="s">
        <v>422</v>
      </c>
      <c r="I126" s="188"/>
      <c r="J126" s="188"/>
      <c r="K126" s="166" t="s">
        <v>1695</v>
      </c>
      <c r="L126" s="166" t="s">
        <v>1545</v>
      </c>
      <c r="M126" s="189"/>
      <c r="N126" s="166"/>
      <c r="O126" s="166"/>
      <c r="P126" s="166"/>
      <c r="Q126" s="166"/>
      <c r="R126" s="187" t="s">
        <v>283</v>
      </c>
      <c r="S126" s="140" t="s">
        <v>685</v>
      </c>
      <c r="T126" s="144" t="s">
        <v>303</v>
      </c>
    </row>
    <row r="127" ht="22.5" customHeight="1">
      <c r="A127" s="143" t="s">
        <v>377</v>
      </c>
      <c r="B127" s="144" t="s">
        <v>379</v>
      </c>
      <c r="C127" s="268" t="s">
        <v>226</v>
      </c>
      <c r="D127" s="144" t="s">
        <v>380</v>
      </c>
      <c r="E127" s="142" t="s">
        <v>382</v>
      </c>
      <c r="F127" s="187" t="s">
        <v>220</v>
      </c>
      <c r="G127" s="166" t="s">
        <v>629</v>
      </c>
      <c r="H127" s="166" t="s">
        <v>422</v>
      </c>
      <c r="I127" s="188"/>
      <c r="J127" s="188"/>
      <c r="K127" s="140" t="s">
        <v>1701</v>
      </c>
      <c r="L127" s="140" t="s">
        <v>1545</v>
      </c>
      <c r="M127" s="140"/>
      <c r="N127" s="166"/>
      <c r="O127" s="166"/>
      <c r="P127" s="166"/>
      <c r="Q127" s="166"/>
      <c r="R127" s="187" t="s">
        <v>283</v>
      </c>
      <c r="S127" s="140" t="s">
        <v>685</v>
      </c>
      <c r="T127" s="144" t="s">
        <v>303</v>
      </c>
    </row>
    <row r="128" ht="22.5" customHeight="1">
      <c r="A128" s="143" t="s">
        <v>377</v>
      </c>
      <c r="B128" s="144" t="s">
        <v>379</v>
      </c>
      <c r="C128" s="268" t="s">
        <v>226</v>
      </c>
      <c r="D128" s="144" t="s">
        <v>380</v>
      </c>
      <c r="E128" s="142" t="s">
        <v>382</v>
      </c>
      <c r="F128" s="187" t="s">
        <v>632</v>
      </c>
      <c r="G128" s="166" t="s">
        <v>635</v>
      </c>
      <c r="H128" s="166" t="s">
        <v>124</v>
      </c>
      <c r="I128" s="188"/>
      <c r="J128" s="188"/>
      <c r="K128" s="166" t="s">
        <v>1709</v>
      </c>
      <c r="L128" s="166" t="s">
        <v>1710</v>
      </c>
      <c r="M128" s="189"/>
      <c r="N128" s="166"/>
      <c r="O128" s="166"/>
      <c r="P128" s="166"/>
      <c r="Q128" s="166"/>
      <c r="R128" s="187" t="s">
        <v>283</v>
      </c>
      <c r="S128" s="140" t="s">
        <v>1711</v>
      </c>
      <c r="T128" s="144" t="s">
        <v>303</v>
      </c>
    </row>
    <row r="129" ht="22.5" customHeight="1">
      <c r="A129" s="143" t="s">
        <v>377</v>
      </c>
      <c r="B129" s="144" t="s">
        <v>379</v>
      </c>
      <c r="C129" s="268" t="s">
        <v>226</v>
      </c>
      <c r="D129" s="144" t="s">
        <v>380</v>
      </c>
      <c r="E129" s="142" t="s">
        <v>382</v>
      </c>
      <c r="F129" s="187" t="s">
        <v>220</v>
      </c>
      <c r="G129" s="166" t="s">
        <v>644</v>
      </c>
      <c r="H129" s="166" t="s">
        <v>124</v>
      </c>
      <c r="I129" s="188"/>
      <c r="J129" s="188"/>
      <c r="K129" s="166" t="s">
        <v>1716</v>
      </c>
      <c r="L129" s="166"/>
      <c r="M129" s="189"/>
      <c r="N129" s="166"/>
      <c r="O129" s="166"/>
      <c r="P129" s="166"/>
      <c r="Q129" s="166"/>
      <c r="R129" s="187" t="s">
        <v>283</v>
      </c>
      <c r="S129" s="140" t="s">
        <v>1711</v>
      </c>
      <c r="T129" s="144" t="s">
        <v>303</v>
      </c>
    </row>
    <row r="130" ht="22.5" customHeight="1">
      <c r="A130" s="143" t="s">
        <v>377</v>
      </c>
      <c r="B130" s="144" t="s">
        <v>379</v>
      </c>
      <c r="C130" s="268" t="s">
        <v>226</v>
      </c>
      <c r="D130" s="144" t="s">
        <v>380</v>
      </c>
      <c r="E130" s="142" t="s">
        <v>382</v>
      </c>
      <c r="F130" s="187" t="s">
        <v>220</v>
      </c>
      <c r="G130" s="166" t="s">
        <v>646</v>
      </c>
      <c r="H130" s="166" t="s">
        <v>124</v>
      </c>
      <c r="I130" s="188"/>
      <c r="J130" s="188"/>
      <c r="K130" s="166" t="s">
        <v>1722</v>
      </c>
      <c r="L130" s="166" t="s">
        <v>1723</v>
      </c>
      <c r="M130" s="189"/>
      <c r="N130" s="166"/>
      <c r="O130" s="166"/>
      <c r="P130" s="166"/>
      <c r="Q130" s="166"/>
      <c r="R130" s="187" t="s">
        <v>283</v>
      </c>
      <c r="S130" s="140" t="s">
        <v>1711</v>
      </c>
      <c r="T130" s="144" t="s">
        <v>303</v>
      </c>
    </row>
    <row r="131" ht="22.5" customHeight="1">
      <c r="A131" s="143" t="s">
        <v>377</v>
      </c>
      <c r="B131" s="144" t="s">
        <v>379</v>
      </c>
      <c r="C131" s="268" t="s">
        <v>226</v>
      </c>
      <c r="D131" s="144" t="s">
        <v>380</v>
      </c>
      <c r="E131" s="142" t="s">
        <v>382</v>
      </c>
      <c r="F131" s="187" t="s">
        <v>220</v>
      </c>
      <c r="G131" s="166" t="s">
        <v>651</v>
      </c>
      <c r="H131" s="166" t="s">
        <v>124</v>
      </c>
      <c r="I131" s="188"/>
      <c r="J131" s="188"/>
      <c r="K131" s="166" t="s">
        <v>1722</v>
      </c>
      <c r="L131" s="166" t="s">
        <v>1723</v>
      </c>
      <c r="M131" s="189"/>
      <c r="N131" s="166"/>
      <c r="O131" s="166"/>
      <c r="P131" s="166"/>
      <c r="Q131" s="166"/>
      <c r="R131" s="187" t="s">
        <v>283</v>
      </c>
      <c r="S131" s="140" t="s">
        <v>1711</v>
      </c>
      <c r="T131" s="144" t="s">
        <v>303</v>
      </c>
    </row>
    <row r="132" ht="22.5" customHeight="1">
      <c r="A132" s="143" t="s">
        <v>377</v>
      </c>
      <c r="B132" s="144" t="s">
        <v>379</v>
      </c>
      <c r="C132" s="268" t="s">
        <v>226</v>
      </c>
      <c r="D132" s="144" t="s">
        <v>380</v>
      </c>
      <c r="E132" s="142" t="s">
        <v>382</v>
      </c>
      <c r="F132" s="187" t="s">
        <v>220</v>
      </c>
      <c r="G132" s="166" t="s">
        <v>653</v>
      </c>
      <c r="H132" s="166" t="s">
        <v>547</v>
      </c>
      <c r="I132" s="188"/>
      <c r="J132" s="188"/>
      <c r="K132" s="166" t="s">
        <v>1740</v>
      </c>
      <c r="L132" s="166"/>
      <c r="M132" s="189"/>
      <c r="N132" s="166"/>
      <c r="O132" s="166"/>
      <c r="P132" s="166"/>
      <c r="Q132" s="166"/>
      <c r="R132" s="187" t="s">
        <v>283</v>
      </c>
      <c r="S132" s="140" t="s">
        <v>1711</v>
      </c>
      <c r="T132" s="144" t="s">
        <v>303</v>
      </c>
    </row>
    <row r="133" ht="22.5" customHeight="1">
      <c r="A133" s="143" t="s">
        <v>377</v>
      </c>
      <c r="B133" s="144" t="s">
        <v>379</v>
      </c>
      <c r="C133" s="268" t="s">
        <v>226</v>
      </c>
      <c r="D133" s="144" t="s">
        <v>380</v>
      </c>
      <c r="E133" s="142" t="s">
        <v>382</v>
      </c>
      <c r="F133" s="187" t="s">
        <v>220</v>
      </c>
      <c r="G133" s="166" t="s">
        <v>657</v>
      </c>
      <c r="H133" s="166" t="s">
        <v>547</v>
      </c>
      <c r="I133" s="188"/>
      <c r="J133" s="188"/>
      <c r="K133" s="166" t="s">
        <v>1722</v>
      </c>
      <c r="L133" s="166" t="s">
        <v>1754</v>
      </c>
      <c r="M133" s="189"/>
      <c r="N133" s="166"/>
      <c r="O133" s="166"/>
      <c r="P133" s="166"/>
      <c r="Q133" s="166"/>
      <c r="R133" s="187" t="s">
        <v>283</v>
      </c>
      <c r="S133" s="140" t="s">
        <v>1711</v>
      </c>
      <c r="T133" s="144" t="s">
        <v>303</v>
      </c>
    </row>
    <row r="134" ht="22.5" customHeight="1">
      <c r="A134" s="143" t="s">
        <v>377</v>
      </c>
      <c r="B134" s="144" t="s">
        <v>379</v>
      </c>
      <c r="C134" s="268" t="s">
        <v>226</v>
      </c>
      <c r="D134" s="144" t="s">
        <v>380</v>
      </c>
      <c r="E134" s="142" t="s">
        <v>382</v>
      </c>
      <c r="F134" s="287"/>
      <c r="G134" s="166">
        <v>18840.0</v>
      </c>
      <c r="H134" s="166" t="s">
        <v>140</v>
      </c>
      <c r="I134" s="188"/>
      <c r="J134" s="188"/>
      <c r="K134" s="166" t="s">
        <v>1769</v>
      </c>
      <c r="L134" s="166" t="s">
        <v>1770</v>
      </c>
      <c r="M134" s="189"/>
      <c r="N134" s="166"/>
      <c r="O134" s="166"/>
      <c r="P134" s="166"/>
      <c r="Q134" s="166"/>
      <c r="R134" s="187" t="s">
        <v>283</v>
      </c>
      <c r="S134" s="140" t="s">
        <v>1711</v>
      </c>
      <c r="T134" s="144" t="s">
        <v>303</v>
      </c>
    </row>
    <row r="135" ht="22.5" customHeight="1">
      <c r="A135" s="143" t="s">
        <v>377</v>
      </c>
      <c r="B135" s="144" t="s">
        <v>379</v>
      </c>
      <c r="C135" s="268" t="s">
        <v>226</v>
      </c>
      <c r="D135" s="144" t="s">
        <v>380</v>
      </c>
      <c r="E135" s="142" t="s">
        <v>382</v>
      </c>
      <c r="F135" s="287"/>
      <c r="G135" s="166">
        <v>18918.0</v>
      </c>
      <c r="H135" s="166" t="s">
        <v>140</v>
      </c>
      <c r="I135" s="188"/>
      <c r="J135" s="188"/>
      <c r="K135" s="166" t="s">
        <v>1722</v>
      </c>
      <c r="L135" s="166" t="s">
        <v>1754</v>
      </c>
      <c r="M135" s="189"/>
      <c r="N135" s="166"/>
      <c r="O135" s="166"/>
      <c r="P135" s="166"/>
      <c r="Q135" s="166"/>
      <c r="R135" s="187" t="s">
        <v>283</v>
      </c>
      <c r="S135" s="140" t="s">
        <v>1711</v>
      </c>
      <c r="T135" s="144" t="s">
        <v>303</v>
      </c>
    </row>
    <row r="136" ht="22.5" customHeight="1">
      <c r="A136" s="143" t="s">
        <v>377</v>
      </c>
      <c r="B136" s="144" t="s">
        <v>379</v>
      </c>
      <c r="C136" s="268" t="s">
        <v>226</v>
      </c>
      <c r="D136" s="144" t="s">
        <v>380</v>
      </c>
      <c r="E136" s="142" t="s">
        <v>382</v>
      </c>
      <c r="F136" s="287"/>
      <c r="G136" s="166">
        <v>19802.0</v>
      </c>
      <c r="H136" s="166" t="s">
        <v>140</v>
      </c>
      <c r="I136" s="188"/>
      <c r="J136" s="188"/>
      <c r="K136" s="166" t="s">
        <v>1769</v>
      </c>
      <c r="L136" s="166" t="s">
        <v>1799</v>
      </c>
      <c r="M136" s="189"/>
      <c r="N136" s="166"/>
      <c r="O136" s="166"/>
      <c r="P136" s="166"/>
      <c r="Q136" s="166"/>
      <c r="R136" s="187" t="s">
        <v>283</v>
      </c>
      <c r="S136" s="140" t="s">
        <v>1711</v>
      </c>
      <c r="T136" s="144" t="s">
        <v>303</v>
      </c>
    </row>
    <row r="137" ht="22.5" customHeight="1">
      <c r="A137" s="143" t="s">
        <v>377</v>
      </c>
      <c r="B137" s="144" t="s">
        <v>379</v>
      </c>
      <c r="C137" s="268" t="s">
        <v>226</v>
      </c>
      <c r="D137" s="144" t="s">
        <v>380</v>
      </c>
      <c r="E137" s="142" t="s">
        <v>382</v>
      </c>
      <c r="F137" s="287"/>
      <c r="G137" s="166">
        <v>19797.0</v>
      </c>
      <c r="H137" s="166" t="s">
        <v>140</v>
      </c>
      <c r="I137" s="188"/>
      <c r="J137" s="188"/>
      <c r="K137" s="166" t="s">
        <v>1810</v>
      </c>
      <c r="L137" s="166"/>
      <c r="M137" s="189"/>
      <c r="N137" s="166"/>
      <c r="O137" s="166"/>
      <c r="P137" s="166"/>
      <c r="Q137" s="166"/>
      <c r="R137" s="187" t="s">
        <v>283</v>
      </c>
      <c r="S137" s="140" t="s">
        <v>1711</v>
      </c>
      <c r="T137" s="144" t="s">
        <v>303</v>
      </c>
    </row>
    <row r="138" ht="22.5" customHeight="1">
      <c r="A138" s="143" t="s">
        <v>377</v>
      </c>
      <c r="B138" s="144" t="s">
        <v>379</v>
      </c>
      <c r="C138" s="268" t="s">
        <v>226</v>
      </c>
      <c r="D138" s="144" t="s">
        <v>380</v>
      </c>
      <c r="E138" s="142" t="s">
        <v>382</v>
      </c>
      <c r="F138" s="187" t="s">
        <v>632</v>
      </c>
      <c r="G138" s="166" t="s">
        <v>682</v>
      </c>
      <c r="H138" s="166" t="s">
        <v>349</v>
      </c>
      <c r="I138" s="188"/>
      <c r="J138" s="188"/>
      <c r="K138" s="166" t="s">
        <v>1716</v>
      </c>
      <c r="L138" s="166"/>
      <c r="M138" s="189"/>
      <c r="N138" s="166"/>
      <c r="O138" s="166"/>
      <c r="P138" s="166"/>
      <c r="Q138" s="166"/>
      <c r="R138" s="187" t="s">
        <v>283</v>
      </c>
      <c r="S138" s="140" t="s">
        <v>1711</v>
      </c>
      <c r="T138" s="144" t="s">
        <v>303</v>
      </c>
    </row>
    <row r="139" ht="22.5" customHeight="1">
      <c r="A139" s="143" t="s">
        <v>377</v>
      </c>
      <c r="B139" s="144" t="s">
        <v>379</v>
      </c>
      <c r="C139" s="268" t="s">
        <v>226</v>
      </c>
      <c r="D139" s="144" t="s">
        <v>380</v>
      </c>
      <c r="E139" s="142" t="s">
        <v>382</v>
      </c>
      <c r="F139" s="187" t="s">
        <v>220</v>
      </c>
      <c r="G139" s="166" t="s">
        <v>689</v>
      </c>
      <c r="H139" s="166" t="s">
        <v>349</v>
      </c>
      <c r="I139" s="188"/>
      <c r="J139" s="188"/>
      <c r="K139" s="166" t="s">
        <v>1826</v>
      </c>
      <c r="L139" s="166"/>
      <c r="M139" s="189"/>
      <c r="N139" s="166"/>
      <c r="O139" s="166"/>
      <c r="P139" s="166"/>
      <c r="Q139" s="166"/>
      <c r="R139" s="187" t="s">
        <v>283</v>
      </c>
      <c r="S139" s="140" t="s">
        <v>1711</v>
      </c>
      <c r="T139" s="144" t="s">
        <v>303</v>
      </c>
    </row>
    <row r="140" ht="22.5" customHeight="1">
      <c r="A140" s="143" t="s">
        <v>377</v>
      </c>
      <c r="B140" s="144" t="s">
        <v>379</v>
      </c>
      <c r="C140" s="268" t="s">
        <v>226</v>
      </c>
      <c r="D140" s="144" t="s">
        <v>380</v>
      </c>
      <c r="E140" s="142" t="s">
        <v>382</v>
      </c>
      <c r="F140" s="187" t="s">
        <v>632</v>
      </c>
      <c r="G140" s="166" t="s">
        <v>692</v>
      </c>
      <c r="H140" s="166" t="s">
        <v>349</v>
      </c>
      <c r="I140" s="188"/>
      <c r="J140" s="188"/>
      <c r="K140" s="166" t="s">
        <v>1716</v>
      </c>
      <c r="L140" s="166"/>
      <c r="M140" s="189"/>
      <c r="N140" s="166"/>
      <c r="O140" s="166"/>
      <c r="P140" s="166"/>
      <c r="Q140" s="166"/>
      <c r="R140" s="187" t="s">
        <v>283</v>
      </c>
      <c r="S140" s="140" t="s">
        <v>1711</v>
      </c>
      <c r="T140" s="144" t="s">
        <v>303</v>
      </c>
    </row>
    <row r="141" ht="22.5" customHeight="1">
      <c r="A141" s="143" t="s">
        <v>377</v>
      </c>
      <c r="B141" s="144" t="s">
        <v>379</v>
      </c>
      <c r="C141" s="268" t="s">
        <v>226</v>
      </c>
      <c r="D141" s="144" t="s">
        <v>380</v>
      </c>
      <c r="E141" s="142" t="s">
        <v>382</v>
      </c>
      <c r="F141" s="187" t="s">
        <v>632</v>
      </c>
      <c r="G141" s="166">
        <v>18838.0</v>
      </c>
      <c r="H141" s="166" t="s">
        <v>349</v>
      </c>
      <c r="I141" s="188"/>
      <c r="J141" s="188"/>
      <c r="K141" s="166" t="s">
        <v>1852</v>
      </c>
      <c r="L141" s="166"/>
      <c r="M141" s="189"/>
      <c r="N141" s="166"/>
      <c r="O141" s="166"/>
      <c r="P141" s="166"/>
      <c r="Q141" s="166"/>
      <c r="R141" s="187" t="s">
        <v>283</v>
      </c>
      <c r="S141" s="140" t="s">
        <v>1711</v>
      </c>
      <c r="T141" s="144" t="s">
        <v>686</v>
      </c>
    </row>
    <row r="142" ht="22.5" customHeight="1">
      <c r="A142" s="143" t="s">
        <v>377</v>
      </c>
      <c r="B142" s="144" t="s">
        <v>379</v>
      </c>
      <c r="C142" s="268" t="s">
        <v>226</v>
      </c>
      <c r="D142" s="144" t="s">
        <v>380</v>
      </c>
      <c r="E142" s="142" t="s">
        <v>382</v>
      </c>
      <c r="F142" s="187" t="s">
        <v>220</v>
      </c>
      <c r="G142" s="166" t="s">
        <v>694</v>
      </c>
      <c r="H142" s="166" t="s">
        <v>531</v>
      </c>
      <c r="I142" s="188"/>
      <c r="J142" s="188"/>
      <c r="K142" s="166" t="s">
        <v>1863</v>
      </c>
      <c r="L142" s="166" t="s">
        <v>1723</v>
      </c>
      <c r="M142" s="189"/>
      <c r="N142" s="166"/>
      <c r="O142" s="166"/>
      <c r="P142" s="166"/>
      <c r="Q142" s="166"/>
      <c r="R142" s="187" t="s">
        <v>283</v>
      </c>
      <c r="S142" s="140" t="s">
        <v>1711</v>
      </c>
      <c r="T142" s="144" t="s">
        <v>303</v>
      </c>
    </row>
    <row r="143" ht="22.5" customHeight="1">
      <c r="A143" s="143" t="s">
        <v>377</v>
      </c>
      <c r="B143" s="144" t="s">
        <v>379</v>
      </c>
      <c r="C143" s="268" t="s">
        <v>226</v>
      </c>
      <c r="D143" s="144" t="s">
        <v>380</v>
      </c>
      <c r="E143" s="142" t="s">
        <v>382</v>
      </c>
      <c r="F143" s="187" t="s">
        <v>220</v>
      </c>
      <c r="G143" s="166" t="s">
        <v>698</v>
      </c>
      <c r="H143" s="166" t="s">
        <v>398</v>
      </c>
      <c r="I143" s="188"/>
      <c r="J143" s="188"/>
      <c r="K143" s="166" t="s">
        <v>1716</v>
      </c>
      <c r="L143" s="166"/>
      <c r="M143" s="189"/>
      <c r="N143" s="166"/>
      <c r="O143" s="166"/>
      <c r="P143" s="166"/>
      <c r="Q143" s="166"/>
      <c r="R143" s="187" t="s">
        <v>283</v>
      </c>
      <c r="S143" s="140" t="s">
        <v>1711</v>
      </c>
      <c r="T143" s="144" t="s">
        <v>303</v>
      </c>
    </row>
    <row r="144" ht="22.5" customHeight="1">
      <c r="A144" s="143" t="s">
        <v>377</v>
      </c>
      <c r="B144" s="144" t="s">
        <v>379</v>
      </c>
      <c r="C144" s="268" t="s">
        <v>226</v>
      </c>
      <c r="D144" s="144" t="s">
        <v>380</v>
      </c>
      <c r="E144" s="142" t="s">
        <v>382</v>
      </c>
      <c r="F144" s="187" t="s">
        <v>220</v>
      </c>
      <c r="G144" s="166">
        <v>35810.0</v>
      </c>
      <c r="H144" s="166" t="s">
        <v>398</v>
      </c>
      <c r="I144" s="188"/>
      <c r="J144" s="188"/>
      <c r="K144" s="166" t="s">
        <v>1882</v>
      </c>
      <c r="L144" s="166" t="s">
        <v>1883</v>
      </c>
      <c r="M144" s="189"/>
      <c r="N144" s="166"/>
      <c r="O144" s="166"/>
      <c r="P144" s="166"/>
      <c r="Q144" s="166"/>
      <c r="R144" s="187" t="s">
        <v>283</v>
      </c>
      <c r="S144" s="140" t="s">
        <v>1711</v>
      </c>
      <c r="T144" s="144" t="s">
        <v>303</v>
      </c>
    </row>
    <row r="145" ht="22.5" customHeight="1">
      <c r="A145" s="143" t="s">
        <v>377</v>
      </c>
      <c r="B145" s="144" t="s">
        <v>379</v>
      </c>
      <c r="C145" s="268" t="s">
        <v>226</v>
      </c>
      <c r="D145" s="144" t="s">
        <v>380</v>
      </c>
      <c r="E145" s="142" t="s">
        <v>382</v>
      </c>
      <c r="F145" s="187" t="s">
        <v>220</v>
      </c>
      <c r="G145" s="166" t="s">
        <v>703</v>
      </c>
      <c r="H145" s="166" t="s">
        <v>702</v>
      </c>
      <c r="I145" s="188"/>
      <c r="J145" s="188"/>
      <c r="K145" s="166" t="s">
        <v>1892</v>
      </c>
      <c r="L145" s="166"/>
      <c r="M145" s="189"/>
      <c r="N145" s="166"/>
      <c r="O145" s="166"/>
      <c r="P145" s="166"/>
      <c r="Q145" s="166"/>
      <c r="R145" s="187" t="s">
        <v>283</v>
      </c>
      <c r="S145" s="140" t="s">
        <v>1711</v>
      </c>
      <c r="T145" s="144" t="s">
        <v>303</v>
      </c>
    </row>
    <row r="146" ht="22.5" customHeight="1">
      <c r="A146" s="143" t="s">
        <v>377</v>
      </c>
      <c r="B146" s="144" t="s">
        <v>379</v>
      </c>
      <c r="C146" s="268" t="s">
        <v>226</v>
      </c>
      <c r="D146" s="144" t="s">
        <v>380</v>
      </c>
      <c r="E146" s="142" t="s">
        <v>382</v>
      </c>
      <c r="F146" s="187" t="s">
        <v>220</v>
      </c>
      <c r="G146" s="166" t="s">
        <v>706</v>
      </c>
      <c r="H146" s="166" t="s">
        <v>702</v>
      </c>
      <c r="I146" s="188"/>
      <c r="J146" s="188"/>
      <c r="K146" s="166" t="s">
        <v>1892</v>
      </c>
      <c r="L146" s="166"/>
      <c r="M146" s="189"/>
      <c r="N146" s="166"/>
      <c r="O146" s="166"/>
      <c r="P146" s="166"/>
      <c r="Q146" s="166"/>
      <c r="R146" s="187" t="s">
        <v>283</v>
      </c>
      <c r="S146" s="140" t="s">
        <v>1711</v>
      </c>
      <c r="T146" s="144" t="s">
        <v>303</v>
      </c>
    </row>
    <row r="147" ht="22.5" customHeight="1">
      <c r="A147" s="143" t="s">
        <v>377</v>
      </c>
      <c r="B147" s="144" t="s">
        <v>379</v>
      </c>
      <c r="C147" s="268" t="s">
        <v>226</v>
      </c>
      <c r="D147" s="144" t="s">
        <v>380</v>
      </c>
      <c r="E147" s="142" t="s">
        <v>382</v>
      </c>
      <c r="F147" s="187" t="s">
        <v>220</v>
      </c>
      <c r="G147" s="166">
        <v>39611.0</v>
      </c>
      <c r="H147" s="166" t="s">
        <v>702</v>
      </c>
      <c r="I147" s="188"/>
      <c r="J147" s="188"/>
      <c r="K147" s="140" t="s">
        <v>1769</v>
      </c>
      <c r="L147" s="140" t="s">
        <v>1770</v>
      </c>
      <c r="M147" s="189"/>
      <c r="N147" s="166"/>
      <c r="O147" s="166"/>
      <c r="P147" s="166"/>
      <c r="Q147" s="166"/>
      <c r="R147" s="187" t="s">
        <v>283</v>
      </c>
      <c r="S147" s="140" t="s">
        <v>1711</v>
      </c>
      <c r="T147" s="144" t="s">
        <v>303</v>
      </c>
    </row>
    <row r="148" ht="22.5" customHeight="1">
      <c r="A148" s="143" t="s">
        <v>377</v>
      </c>
      <c r="B148" s="144" t="s">
        <v>379</v>
      </c>
      <c r="C148" s="268" t="s">
        <v>226</v>
      </c>
      <c r="D148" s="144" t="s">
        <v>380</v>
      </c>
      <c r="E148" s="142" t="s">
        <v>382</v>
      </c>
      <c r="F148" s="187" t="s">
        <v>220</v>
      </c>
      <c r="G148" s="166" t="s">
        <v>712</v>
      </c>
      <c r="H148" s="166" t="s">
        <v>702</v>
      </c>
      <c r="I148" s="188"/>
      <c r="J148" s="188"/>
      <c r="K148" s="140" t="s">
        <v>1769</v>
      </c>
      <c r="L148" s="140" t="s">
        <v>1770</v>
      </c>
      <c r="M148" s="189"/>
      <c r="N148" s="166"/>
      <c r="O148" s="166"/>
      <c r="P148" s="166"/>
      <c r="Q148" s="166"/>
      <c r="R148" s="187" t="s">
        <v>283</v>
      </c>
      <c r="S148" s="140" t="s">
        <v>1711</v>
      </c>
      <c r="T148" s="144" t="s">
        <v>303</v>
      </c>
    </row>
    <row r="149" ht="22.5" customHeight="1">
      <c r="A149" s="143" t="s">
        <v>377</v>
      </c>
      <c r="B149" s="144" t="s">
        <v>379</v>
      </c>
      <c r="C149" s="268" t="s">
        <v>226</v>
      </c>
      <c r="D149" s="144" t="s">
        <v>380</v>
      </c>
      <c r="E149" s="142" t="s">
        <v>382</v>
      </c>
      <c r="F149" s="187" t="s">
        <v>220</v>
      </c>
      <c r="G149" s="166">
        <v>34321.0</v>
      </c>
      <c r="H149" s="166" t="s">
        <v>383</v>
      </c>
      <c r="I149" s="188"/>
      <c r="J149" s="188"/>
      <c r="K149" s="166" t="s">
        <v>1899</v>
      </c>
      <c r="L149" s="166"/>
      <c r="M149" s="189"/>
      <c r="N149" s="166"/>
      <c r="O149" s="166"/>
      <c r="P149" s="166"/>
      <c r="Q149" s="166"/>
      <c r="R149" s="187" t="s">
        <v>283</v>
      </c>
      <c r="S149" s="140" t="s">
        <v>1711</v>
      </c>
      <c r="T149" s="144" t="s">
        <v>686</v>
      </c>
    </row>
    <row r="150" ht="22.5" customHeight="1">
      <c r="A150" s="143" t="s">
        <v>377</v>
      </c>
      <c r="B150" s="144" t="s">
        <v>379</v>
      </c>
      <c r="C150" s="268" t="s">
        <v>226</v>
      </c>
      <c r="D150" s="144" t="s">
        <v>380</v>
      </c>
      <c r="E150" s="142" t="s">
        <v>382</v>
      </c>
      <c r="F150" s="187" t="s">
        <v>220</v>
      </c>
      <c r="G150" s="166">
        <v>34320.0</v>
      </c>
      <c r="H150" s="166" t="s">
        <v>383</v>
      </c>
      <c r="I150" s="188"/>
      <c r="J150" s="188"/>
      <c r="K150" s="166" t="s">
        <v>1709</v>
      </c>
      <c r="L150" s="166" t="s">
        <v>1710</v>
      </c>
      <c r="M150" s="189"/>
      <c r="N150" s="166"/>
      <c r="O150" s="166"/>
      <c r="P150" s="166"/>
      <c r="Q150" s="166"/>
      <c r="R150" s="187" t="s">
        <v>283</v>
      </c>
      <c r="S150" s="140" t="s">
        <v>1711</v>
      </c>
      <c r="T150" s="144" t="s">
        <v>303</v>
      </c>
    </row>
    <row r="151" ht="22.5" customHeight="1">
      <c r="A151" s="143" t="s">
        <v>377</v>
      </c>
      <c r="B151" s="144" t="s">
        <v>379</v>
      </c>
      <c r="C151" s="268" t="s">
        <v>226</v>
      </c>
      <c r="D151" s="144" t="s">
        <v>380</v>
      </c>
      <c r="E151" s="142" t="s">
        <v>382</v>
      </c>
      <c r="F151" s="187" t="s">
        <v>220</v>
      </c>
      <c r="G151" s="166" t="s">
        <v>715</v>
      </c>
      <c r="H151" s="166" t="s">
        <v>383</v>
      </c>
      <c r="I151" s="188"/>
      <c r="J151" s="188"/>
      <c r="K151" s="166" t="s">
        <v>1716</v>
      </c>
      <c r="L151" s="166"/>
      <c r="M151" s="189"/>
      <c r="N151" s="166"/>
      <c r="O151" s="166"/>
      <c r="P151" s="166"/>
      <c r="Q151" s="166"/>
      <c r="R151" s="187" t="s">
        <v>283</v>
      </c>
      <c r="S151" s="140" t="s">
        <v>1711</v>
      </c>
      <c r="T151" s="144" t="s">
        <v>303</v>
      </c>
    </row>
    <row r="152" ht="22.5" customHeight="1">
      <c r="A152" s="143" t="s">
        <v>377</v>
      </c>
      <c r="B152" s="144" t="s">
        <v>379</v>
      </c>
      <c r="C152" s="268" t="s">
        <v>226</v>
      </c>
      <c r="D152" s="144" t="s">
        <v>380</v>
      </c>
      <c r="E152" s="142" t="s">
        <v>382</v>
      </c>
      <c r="F152" s="187" t="s">
        <v>220</v>
      </c>
      <c r="G152" s="166" t="s">
        <v>718</v>
      </c>
      <c r="H152" s="166" t="s">
        <v>503</v>
      </c>
      <c r="I152" s="188"/>
      <c r="J152" s="188"/>
      <c r="K152" s="166" t="s">
        <v>1722</v>
      </c>
      <c r="L152" s="166" t="s">
        <v>1754</v>
      </c>
      <c r="M152" s="189"/>
      <c r="N152" s="166"/>
      <c r="O152" s="166"/>
      <c r="P152" s="166"/>
      <c r="Q152" s="166"/>
      <c r="R152" s="187" t="s">
        <v>283</v>
      </c>
      <c r="S152" s="140" t="s">
        <v>1711</v>
      </c>
      <c r="T152" s="144" t="s">
        <v>303</v>
      </c>
    </row>
    <row r="153" ht="22.5" customHeight="1">
      <c r="A153" s="143" t="s">
        <v>377</v>
      </c>
      <c r="B153" s="144" t="s">
        <v>379</v>
      </c>
      <c r="C153" s="268" t="s">
        <v>226</v>
      </c>
      <c r="D153" s="144" t="s">
        <v>380</v>
      </c>
      <c r="E153" s="142" t="s">
        <v>382</v>
      </c>
      <c r="F153" s="187" t="s">
        <v>220</v>
      </c>
      <c r="G153" s="166" t="s">
        <v>720</v>
      </c>
      <c r="H153" s="166" t="s">
        <v>503</v>
      </c>
      <c r="I153" s="188"/>
      <c r="J153" s="188"/>
      <c r="K153" s="166" t="s">
        <v>1716</v>
      </c>
      <c r="L153" s="166"/>
      <c r="M153" s="189"/>
      <c r="N153" s="166"/>
      <c r="O153" s="166"/>
      <c r="P153" s="166"/>
      <c r="Q153" s="166"/>
      <c r="R153" s="187" t="s">
        <v>283</v>
      </c>
      <c r="S153" s="140" t="s">
        <v>1711</v>
      </c>
      <c r="T153" s="144" t="s">
        <v>303</v>
      </c>
    </row>
    <row r="154" ht="22.5" customHeight="1">
      <c r="A154" s="143" t="s">
        <v>377</v>
      </c>
      <c r="B154" s="144" t="s">
        <v>379</v>
      </c>
      <c r="C154" s="268" t="s">
        <v>226</v>
      </c>
      <c r="D154" s="144" t="s">
        <v>380</v>
      </c>
      <c r="E154" s="142" t="s">
        <v>382</v>
      </c>
      <c r="F154" s="187" t="s">
        <v>632</v>
      </c>
      <c r="G154" s="166" t="s">
        <v>725</v>
      </c>
      <c r="H154" s="166" t="s">
        <v>363</v>
      </c>
      <c r="I154" s="188"/>
      <c r="J154" s="188"/>
      <c r="K154" s="166" t="s">
        <v>1716</v>
      </c>
      <c r="L154" s="166"/>
      <c r="M154" s="189"/>
      <c r="N154" s="166"/>
      <c r="O154" s="166"/>
      <c r="P154" s="166"/>
      <c r="Q154" s="166"/>
      <c r="R154" s="187" t="s">
        <v>283</v>
      </c>
      <c r="S154" s="140" t="s">
        <v>1711</v>
      </c>
      <c r="T154" s="144" t="s">
        <v>303</v>
      </c>
    </row>
    <row r="155" ht="22.5" customHeight="1">
      <c r="A155" s="143" t="s">
        <v>377</v>
      </c>
      <c r="B155" s="144" t="s">
        <v>379</v>
      </c>
      <c r="C155" s="268" t="s">
        <v>226</v>
      </c>
      <c r="D155" s="144" t="s">
        <v>380</v>
      </c>
      <c r="E155" s="142" t="s">
        <v>382</v>
      </c>
      <c r="F155" s="187" t="s">
        <v>220</v>
      </c>
      <c r="G155" s="166" t="s">
        <v>726</v>
      </c>
      <c r="H155" s="166" t="s">
        <v>363</v>
      </c>
      <c r="I155" s="188"/>
      <c r="J155" s="188"/>
      <c r="K155" s="166" t="s">
        <v>1716</v>
      </c>
      <c r="L155" s="166"/>
      <c r="M155" s="189"/>
      <c r="N155" s="166"/>
      <c r="O155" s="166"/>
      <c r="P155" s="166"/>
      <c r="Q155" s="166"/>
      <c r="R155" s="187" t="s">
        <v>283</v>
      </c>
      <c r="S155" s="140" t="s">
        <v>1711</v>
      </c>
      <c r="T155" s="144" t="s">
        <v>303</v>
      </c>
    </row>
    <row r="156" ht="22.5" customHeight="1">
      <c r="A156" s="143" t="s">
        <v>377</v>
      </c>
      <c r="B156" s="144" t="s">
        <v>379</v>
      </c>
      <c r="C156" s="268" t="s">
        <v>226</v>
      </c>
      <c r="D156" s="144" t="s">
        <v>380</v>
      </c>
      <c r="E156" s="142" t="s">
        <v>382</v>
      </c>
      <c r="F156" s="187" t="s">
        <v>632</v>
      </c>
      <c r="G156" s="166" t="s">
        <v>728</v>
      </c>
      <c r="H156" s="166" t="s">
        <v>363</v>
      </c>
      <c r="I156" s="188"/>
      <c r="J156" s="188"/>
      <c r="K156" s="166" t="s">
        <v>1716</v>
      </c>
      <c r="L156" s="166"/>
      <c r="M156" s="189"/>
      <c r="N156" s="166"/>
      <c r="O156" s="166"/>
      <c r="P156" s="166"/>
      <c r="Q156" s="166"/>
      <c r="R156" s="187" t="s">
        <v>283</v>
      </c>
      <c r="S156" s="140" t="s">
        <v>1711</v>
      </c>
      <c r="T156" s="144" t="s">
        <v>303</v>
      </c>
    </row>
    <row r="157" ht="22.5" customHeight="1">
      <c r="A157" s="354" t="s">
        <v>377</v>
      </c>
      <c r="B157" s="355" t="s">
        <v>379</v>
      </c>
      <c r="C157" s="268" t="s">
        <v>1423</v>
      </c>
      <c r="D157" s="355" t="s">
        <v>380</v>
      </c>
      <c r="E157" s="356" t="s">
        <v>95</v>
      </c>
      <c r="F157" s="187" t="s">
        <v>220</v>
      </c>
      <c r="G157" s="140" t="s">
        <v>407</v>
      </c>
      <c r="H157" s="166" t="s">
        <v>177</v>
      </c>
      <c r="I157" s="188" t="s">
        <v>1426</v>
      </c>
      <c r="J157" s="188"/>
      <c r="K157" s="166"/>
      <c r="L157" s="166"/>
      <c r="M157" s="189"/>
      <c r="N157" s="166"/>
      <c r="O157" s="166"/>
      <c r="P157" s="357" t="s">
        <v>1430</v>
      </c>
      <c r="Q157" s="357" t="s">
        <v>1431</v>
      </c>
      <c r="R157" s="187" t="s">
        <v>445</v>
      </c>
      <c r="S157" s="166"/>
      <c r="T157" s="144" t="s">
        <v>303</v>
      </c>
    </row>
    <row r="158" ht="22.5" customHeight="1">
      <c r="A158" s="354" t="s">
        <v>377</v>
      </c>
      <c r="B158" s="355" t="s">
        <v>379</v>
      </c>
      <c r="C158" s="268" t="s">
        <v>1433</v>
      </c>
      <c r="D158" s="355" t="s">
        <v>380</v>
      </c>
      <c r="E158" s="356" t="s">
        <v>95</v>
      </c>
      <c r="F158" s="187" t="s">
        <v>220</v>
      </c>
      <c r="G158" s="140" t="s">
        <v>334</v>
      </c>
      <c r="H158" s="166" t="s">
        <v>326</v>
      </c>
      <c r="I158" s="188">
        <v>46169.0</v>
      </c>
      <c r="J158" s="188"/>
      <c r="K158" s="166"/>
      <c r="L158" s="166"/>
      <c r="M158" s="189"/>
      <c r="N158" s="166"/>
      <c r="O158" s="166"/>
      <c r="P158" s="357" t="s">
        <v>1430</v>
      </c>
      <c r="Q158" s="166"/>
      <c r="R158" s="187" t="s">
        <v>445</v>
      </c>
      <c r="S158" s="166"/>
      <c r="T158" s="144" t="s">
        <v>1105</v>
      </c>
    </row>
    <row r="159" ht="22.5" customHeight="1">
      <c r="A159" s="354" t="s">
        <v>377</v>
      </c>
      <c r="B159" s="355" t="s">
        <v>379</v>
      </c>
      <c r="C159" s="268" t="s">
        <v>1436</v>
      </c>
      <c r="D159" s="355" t="s">
        <v>380</v>
      </c>
      <c r="E159" s="356" t="s">
        <v>95</v>
      </c>
      <c r="F159" s="187" t="s">
        <v>220</v>
      </c>
      <c r="G159" s="166" t="s">
        <v>657</v>
      </c>
      <c r="H159" s="166" t="s">
        <v>547</v>
      </c>
      <c r="I159" s="188">
        <v>46169.0</v>
      </c>
      <c r="J159" s="188"/>
      <c r="K159" s="166"/>
      <c r="L159" s="166"/>
      <c r="M159" s="189"/>
      <c r="N159" s="166"/>
      <c r="O159" s="166"/>
      <c r="P159" s="357" t="s">
        <v>1440</v>
      </c>
      <c r="Q159" s="166"/>
      <c r="R159" s="187" t="s">
        <v>445</v>
      </c>
      <c r="S159" s="166"/>
      <c r="T159" s="144" t="s">
        <v>1105</v>
      </c>
    </row>
    <row r="160" ht="22.5" customHeight="1">
      <c r="A160" s="354" t="s">
        <v>377</v>
      </c>
      <c r="B160" s="355" t="s">
        <v>379</v>
      </c>
      <c r="C160" s="268" t="s">
        <v>1445</v>
      </c>
      <c r="D160" s="355" t="s">
        <v>380</v>
      </c>
      <c r="E160" s="356"/>
      <c r="F160" s="187" t="s">
        <v>220</v>
      </c>
      <c r="G160" s="166">
        <v>35805.0</v>
      </c>
      <c r="H160" s="166" t="s">
        <v>384</v>
      </c>
      <c r="I160" s="188">
        <v>46196.0</v>
      </c>
      <c r="J160" s="188"/>
      <c r="K160" s="166"/>
      <c r="L160" s="166"/>
      <c r="M160" s="189"/>
      <c r="N160" s="166"/>
      <c r="O160" s="166"/>
      <c r="P160" s="166"/>
      <c r="Q160" s="166"/>
      <c r="R160" s="187" t="s">
        <v>445</v>
      </c>
      <c r="S160" s="166"/>
      <c r="T160" s="245"/>
    </row>
    <row r="161" ht="22.5" customHeight="1">
      <c r="A161" s="354" t="s">
        <v>377</v>
      </c>
      <c r="B161" s="355" t="s">
        <v>379</v>
      </c>
      <c r="C161" s="268" t="s">
        <v>1445</v>
      </c>
      <c r="D161" s="355" t="s">
        <v>380</v>
      </c>
      <c r="E161" s="356"/>
      <c r="F161" s="187" t="s">
        <v>220</v>
      </c>
      <c r="G161" s="166">
        <v>34340.0</v>
      </c>
      <c r="H161" s="166" t="s">
        <v>384</v>
      </c>
      <c r="I161" s="188">
        <v>46196.0</v>
      </c>
      <c r="J161" s="188"/>
      <c r="K161" s="166"/>
      <c r="L161" s="166"/>
      <c r="M161" s="189"/>
      <c r="N161" s="166"/>
      <c r="O161" s="166"/>
      <c r="P161" s="166"/>
      <c r="Q161" s="166"/>
      <c r="R161" s="187" t="s">
        <v>445</v>
      </c>
      <c r="S161" s="166"/>
      <c r="T161" s="245"/>
    </row>
    <row r="162" ht="22.5" customHeight="1">
      <c r="A162" s="354" t="s">
        <v>377</v>
      </c>
      <c r="B162" s="355" t="s">
        <v>379</v>
      </c>
      <c r="C162" s="268" t="s">
        <v>1445</v>
      </c>
      <c r="D162" s="355" t="s">
        <v>380</v>
      </c>
      <c r="E162" s="356"/>
      <c r="F162" s="187" t="s">
        <v>220</v>
      </c>
      <c r="G162" s="166">
        <v>39609.0</v>
      </c>
      <c r="H162" s="166" t="s">
        <v>384</v>
      </c>
      <c r="I162" s="188">
        <v>46196.0</v>
      </c>
      <c r="J162" s="188"/>
      <c r="K162" s="166"/>
      <c r="L162" s="166"/>
      <c r="M162" s="189"/>
      <c r="N162" s="166"/>
      <c r="O162" s="166"/>
      <c r="P162" s="166"/>
      <c r="Q162" s="166"/>
      <c r="R162" s="187" t="s">
        <v>445</v>
      </c>
      <c r="S162" s="166"/>
      <c r="T162" s="245"/>
    </row>
    <row r="163" ht="22.5" customHeight="1">
      <c r="A163" s="354" t="s">
        <v>377</v>
      </c>
      <c r="B163" s="355" t="s">
        <v>379</v>
      </c>
      <c r="C163" s="268" t="s">
        <v>1445</v>
      </c>
      <c r="D163" s="355" t="s">
        <v>380</v>
      </c>
      <c r="E163" s="356"/>
      <c r="F163" s="187" t="s">
        <v>220</v>
      </c>
      <c r="G163" s="140">
        <v>34305.0</v>
      </c>
      <c r="H163" s="166" t="s">
        <v>384</v>
      </c>
      <c r="I163" s="188">
        <v>46196.0</v>
      </c>
      <c r="J163" s="188"/>
      <c r="K163" s="166"/>
      <c r="L163" s="166"/>
      <c r="M163" s="189"/>
      <c r="N163" s="166"/>
      <c r="O163" s="166"/>
      <c r="P163" s="166"/>
      <c r="Q163" s="166"/>
      <c r="R163" s="187" t="s">
        <v>445</v>
      </c>
      <c r="S163" s="166"/>
      <c r="T163" s="245"/>
    </row>
    <row r="164" ht="22.5" customHeight="1">
      <c r="A164" s="354" t="s">
        <v>377</v>
      </c>
      <c r="B164" s="355" t="s">
        <v>379</v>
      </c>
      <c r="C164" s="268" t="s">
        <v>1445</v>
      </c>
      <c r="D164" s="355" t="s">
        <v>380</v>
      </c>
      <c r="E164" s="356"/>
      <c r="F164" s="187" t="s">
        <v>220</v>
      </c>
      <c r="G164" s="140">
        <v>39557.0</v>
      </c>
      <c r="H164" s="166" t="s">
        <v>384</v>
      </c>
      <c r="I164" s="188">
        <v>46196.0</v>
      </c>
      <c r="J164" s="188"/>
      <c r="K164" s="166"/>
      <c r="L164" s="166"/>
      <c r="M164" s="189"/>
      <c r="N164" s="166"/>
      <c r="O164" s="166"/>
      <c r="P164" s="166"/>
      <c r="Q164" s="166"/>
      <c r="R164" s="187" t="s">
        <v>445</v>
      </c>
      <c r="S164" s="166"/>
      <c r="T164" s="245"/>
    </row>
    <row r="165" ht="22.5" customHeight="1">
      <c r="A165" s="354" t="s">
        <v>377</v>
      </c>
      <c r="B165" s="355" t="s">
        <v>379</v>
      </c>
      <c r="C165" s="268" t="s">
        <v>1445</v>
      </c>
      <c r="D165" s="355" t="s">
        <v>380</v>
      </c>
      <c r="E165" s="356"/>
      <c r="F165" s="187" t="s">
        <v>220</v>
      </c>
      <c r="G165" s="140">
        <v>39605.0</v>
      </c>
      <c r="H165" s="140" t="s">
        <v>313</v>
      </c>
      <c r="I165" s="188">
        <v>46196.0</v>
      </c>
      <c r="J165" s="188"/>
      <c r="K165" s="166"/>
      <c r="L165" s="166"/>
      <c r="M165" s="189"/>
      <c r="N165" s="166"/>
      <c r="O165" s="166"/>
      <c r="P165" s="166"/>
      <c r="Q165" s="166"/>
      <c r="R165" s="187" t="s">
        <v>445</v>
      </c>
      <c r="S165" s="166"/>
      <c r="T165" s="245"/>
    </row>
    <row r="166" ht="22.5" customHeight="1">
      <c r="A166" s="354" t="s">
        <v>377</v>
      </c>
      <c r="B166" s="355" t="s">
        <v>379</v>
      </c>
      <c r="C166" s="268" t="s">
        <v>1445</v>
      </c>
      <c r="D166" s="355" t="s">
        <v>380</v>
      </c>
      <c r="E166" s="356"/>
      <c r="F166" s="187" t="s">
        <v>220</v>
      </c>
      <c r="G166" s="140">
        <v>14767.0</v>
      </c>
      <c r="H166" s="140" t="s">
        <v>313</v>
      </c>
      <c r="I166" s="188">
        <v>46196.0</v>
      </c>
      <c r="J166" s="188"/>
      <c r="K166" s="166"/>
      <c r="L166" s="166"/>
      <c r="M166" s="189"/>
      <c r="N166" s="166"/>
      <c r="O166" s="166"/>
      <c r="P166" s="166"/>
      <c r="Q166" s="166"/>
      <c r="R166" s="187" t="s">
        <v>445</v>
      </c>
      <c r="S166" s="166"/>
      <c r="T166" s="245"/>
    </row>
    <row r="167" ht="22.5" customHeight="1">
      <c r="A167" s="354" t="s">
        <v>377</v>
      </c>
      <c r="B167" s="355" t="s">
        <v>379</v>
      </c>
      <c r="C167" s="268" t="s">
        <v>1445</v>
      </c>
      <c r="D167" s="355" t="s">
        <v>380</v>
      </c>
      <c r="E167" s="356"/>
      <c r="F167" s="187" t="s">
        <v>220</v>
      </c>
      <c r="G167" s="140" t="s">
        <v>693</v>
      </c>
      <c r="H167" s="140" t="s">
        <v>188</v>
      </c>
      <c r="I167" s="188">
        <v>46196.0</v>
      </c>
      <c r="J167" s="188"/>
      <c r="K167" s="166"/>
      <c r="L167" s="166"/>
      <c r="M167" s="189"/>
      <c r="N167" s="166"/>
      <c r="O167" s="166"/>
      <c r="P167" s="166"/>
      <c r="Q167" s="166"/>
      <c r="R167" s="187" t="s">
        <v>445</v>
      </c>
      <c r="S167" s="166"/>
      <c r="T167" s="245"/>
    </row>
    <row r="168" ht="22.5" customHeight="1">
      <c r="A168" s="354" t="s">
        <v>377</v>
      </c>
      <c r="B168" s="355" t="s">
        <v>379</v>
      </c>
      <c r="C168" s="268" t="s">
        <v>1445</v>
      </c>
      <c r="D168" s="355" t="s">
        <v>380</v>
      </c>
      <c r="E168" s="356"/>
      <c r="F168" s="187" t="s">
        <v>220</v>
      </c>
      <c r="G168" s="166">
        <v>19927.0</v>
      </c>
      <c r="H168" s="140" t="s">
        <v>392</v>
      </c>
      <c r="I168" s="188">
        <v>46196.0</v>
      </c>
      <c r="J168" s="188"/>
      <c r="K168" s="166"/>
      <c r="L168" s="166"/>
      <c r="M168" s="189"/>
      <c r="N168" s="166"/>
      <c r="O168" s="166"/>
      <c r="P168" s="166"/>
      <c r="Q168" s="166"/>
      <c r="R168" s="187" t="s">
        <v>445</v>
      </c>
      <c r="S168" s="166"/>
      <c r="T168" s="245"/>
    </row>
    <row r="169" ht="22.5" customHeight="1">
      <c r="A169" s="354" t="s">
        <v>377</v>
      </c>
      <c r="B169" s="355" t="s">
        <v>379</v>
      </c>
      <c r="C169" s="268" t="s">
        <v>1445</v>
      </c>
      <c r="D169" s="355" t="s">
        <v>380</v>
      </c>
      <c r="E169" s="356"/>
      <c r="F169" s="187" t="s">
        <v>220</v>
      </c>
      <c r="G169" s="166">
        <v>18908.0</v>
      </c>
      <c r="H169" s="140" t="s">
        <v>131</v>
      </c>
      <c r="I169" s="188">
        <v>46196.0</v>
      </c>
      <c r="J169" s="188"/>
      <c r="K169" s="166"/>
      <c r="L169" s="166"/>
      <c r="M169" s="189"/>
      <c r="N169" s="166"/>
      <c r="O169" s="166"/>
      <c r="P169" s="166"/>
      <c r="Q169" s="166"/>
      <c r="R169" s="187" t="s">
        <v>445</v>
      </c>
      <c r="S169" s="166"/>
      <c r="T169" s="245"/>
    </row>
    <row r="170" ht="22.5" customHeight="1">
      <c r="A170" s="354" t="s">
        <v>377</v>
      </c>
      <c r="B170" s="355" t="s">
        <v>379</v>
      </c>
      <c r="C170" s="268" t="s">
        <v>1445</v>
      </c>
      <c r="D170" s="355" t="s">
        <v>380</v>
      </c>
      <c r="E170" s="356"/>
      <c r="F170" s="187" t="s">
        <v>220</v>
      </c>
      <c r="G170" s="140">
        <v>34310.0</v>
      </c>
      <c r="H170" s="140" t="s">
        <v>131</v>
      </c>
      <c r="I170" s="188">
        <v>46196.0</v>
      </c>
      <c r="J170" s="188"/>
      <c r="K170" s="166"/>
      <c r="L170" s="166"/>
      <c r="M170" s="189"/>
      <c r="N170" s="166"/>
      <c r="O170" s="166"/>
      <c r="P170" s="166"/>
      <c r="Q170" s="166"/>
      <c r="R170" s="187" t="s">
        <v>445</v>
      </c>
      <c r="S170" s="166"/>
      <c r="T170" s="245"/>
    </row>
    <row r="171" ht="22.5" customHeight="1">
      <c r="A171" s="354" t="s">
        <v>377</v>
      </c>
      <c r="B171" s="355" t="s">
        <v>379</v>
      </c>
      <c r="C171" s="268" t="s">
        <v>1445</v>
      </c>
      <c r="D171" s="355" t="s">
        <v>380</v>
      </c>
      <c r="E171" s="356"/>
      <c r="F171" s="187" t="s">
        <v>220</v>
      </c>
      <c r="G171" s="140">
        <v>35902.0</v>
      </c>
      <c r="H171" s="140" t="s">
        <v>131</v>
      </c>
      <c r="I171" s="188">
        <v>46196.0</v>
      </c>
      <c r="J171" s="188"/>
      <c r="K171" s="166"/>
      <c r="L171" s="166"/>
      <c r="M171" s="189"/>
      <c r="N171" s="166"/>
      <c r="O171" s="166"/>
      <c r="P171" s="166"/>
      <c r="Q171" s="166"/>
      <c r="R171" s="187" t="s">
        <v>445</v>
      </c>
      <c r="S171" s="166"/>
      <c r="T171" s="245"/>
    </row>
    <row r="172" ht="22.5" customHeight="1">
      <c r="A172" s="354" t="s">
        <v>377</v>
      </c>
      <c r="B172" s="355" t="s">
        <v>379</v>
      </c>
      <c r="C172" s="268" t="s">
        <v>1445</v>
      </c>
      <c r="D172" s="355" t="s">
        <v>380</v>
      </c>
      <c r="E172" s="356"/>
      <c r="F172" s="187" t="s">
        <v>220</v>
      </c>
      <c r="G172" s="166">
        <v>34306.0</v>
      </c>
      <c r="H172" s="140" t="s">
        <v>187</v>
      </c>
      <c r="I172" s="188">
        <v>46196.0</v>
      </c>
      <c r="J172" s="188"/>
      <c r="K172" s="166"/>
      <c r="L172" s="166"/>
      <c r="M172" s="189"/>
      <c r="N172" s="166"/>
      <c r="O172" s="166"/>
      <c r="P172" s="166"/>
      <c r="Q172" s="166"/>
      <c r="R172" s="187" t="s">
        <v>445</v>
      </c>
      <c r="S172" s="166"/>
      <c r="T172" s="245"/>
    </row>
    <row r="173" ht="22.5" customHeight="1">
      <c r="A173" s="354" t="s">
        <v>377</v>
      </c>
      <c r="B173" s="355" t="s">
        <v>379</v>
      </c>
      <c r="C173" s="268" t="s">
        <v>1445</v>
      </c>
      <c r="D173" s="355" t="s">
        <v>380</v>
      </c>
      <c r="E173" s="356"/>
      <c r="F173" s="187" t="s">
        <v>220</v>
      </c>
      <c r="G173" s="140" t="s">
        <v>759</v>
      </c>
      <c r="H173" s="140" t="s">
        <v>297</v>
      </c>
      <c r="I173" s="188">
        <v>46196.0</v>
      </c>
      <c r="J173" s="188"/>
      <c r="K173" s="166"/>
      <c r="L173" s="166"/>
      <c r="M173" s="189"/>
      <c r="N173" s="166"/>
      <c r="O173" s="166"/>
      <c r="P173" s="166"/>
      <c r="Q173" s="166"/>
      <c r="R173" s="187" t="s">
        <v>445</v>
      </c>
      <c r="S173" s="166"/>
      <c r="T173" s="245"/>
    </row>
    <row r="174" ht="22.5" customHeight="1">
      <c r="A174" s="354" t="s">
        <v>377</v>
      </c>
      <c r="B174" s="355" t="s">
        <v>379</v>
      </c>
      <c r="C174" s="268" t="s">
        <v>1445</v>
      </c>
      <c r="D174" s="355" t="s">
        <v>380</v>
      </c>
      <c r="E174" s="356"/>
      <c r="F174" s="187" t="s">
        <v>220</v>
      </c>
      <c r="G174" s="140">
        <v>19886.0</v>
      </c>
      <c r="H174" s="140" t="s">
        <v>436</v>
      </c>
      <c r="I174" s="188">
        <v>46196.0</v>
      </c>
      <c r="J174" s="188"/>
      <c r="K174" s="166"/>
      <c r="L174" s="166"/>
      <c r="M174" s="189"/>
      <c r="N174" s="166"/>
      <c r="O174" s="166"/>
      <c r="P174" s="166"/>
      <c r="Q174" s="166"/>
      <c r="R174" s="187" t="s">
        <v>445</v>
      </c>
      <c r="S174" s="166"/>
      <c r="T174" s="245"/>
    </row>
    <row r="175" ht="22.5" customHeight="1">
      <c r="A175" s="354" t="s">
        <v>377</v>
      </c>
      <c r="B175" s="355" t="s">
        <v>379</v>
      </c>
      <c r="C175" s="268" t="s">
        <v>1445</v>
      </c>
      <c r="D175" s="355" t="s">
        <v>380</v>
      </c>
      <c r="E175" s="356"/>
      <c r="F175" s="187" t="s">
        <v>632</v>
      </c>
      <c r="G175" s="140">
        <v>18912.0</v>
      </c>
      <c r="H175" s="140" t="s">
        <v>499</v>
      </c>
      <c r="I175" s="188">
        <v>46196.0</v>
      </c>
      <c r="J175" s="188"/>
      <c r="K175" s="166"/>
      <c r="L175" s="166"/>
      <c r="M175" s="189"/>
      <c r="N175" s="166"/>
      <c r="O175" s="166"/>
      <c r="P175" s="166"/>
      <c r="Q175" s="166"/>
      <c r="R175" s="187" t="s">
        <v>445</v>
      </c>
      <c r="S175" s="166"/>
      <c r="T175" s="245"/>
    </row>
  </sheetData>
  <mergeCells count="1">
    <mergeCell ref="A1:W4"/>
  </mergeCells>
  <dataValidations>
    <dataValidation type="list" allowBlank="1" sqref="R6:R175">
      <formula1>"MANUTENÇÃO CORRETIVA,MANUTENÇÃO PREVENTIVA"</formula1>
    </dataValidation>
    <dataValidation type="list" allowBlank="1" sqref="F6:F175">
      <formula1>"METTUS HS+,METTUS ASD"</formula1>
    </dataValidation>
    <dataValidation type="list" allowBlank="1" sqref="D6:D175">
      <formula1>"PÓRTICOS"</formula1>
    </dataValidation>
    <dataValidation type="list" allowBlank="1" sqref="B6:B175">
      <formula1>"39601/2025"</formula1>
    </dataValidation>
    <dataValidation type="list" allowBlank="1" sqref="A6:A175">
      <formula1>"88/2025"</formula1>
    </dataValidation>
    <dataValidation allowBlank="1" showDropDown="1" sqref="C6:C175 E6:E175"/>
    <dataValidation type="list" allowBlank="1" sqref="T6:T175">
      <formula1>"CONCLUÍDO,PENDENTE,AGUARDANDO MANUTENÇÃO,NOVA AVALIAÇÃO"</formula1>
    </dataValidation>
  </dataValidations>
  <hyperlinks>
    <hyperlink r:id="rId1" ref="P157"/>
    <hyperlink r:id="rId2" ref="Q157"/>
    <hyperlink r:id="rId3" ref="P158"/>
    <hyperlink r:id="rId4" ref="P159"/>
  </hyperlinks>
  <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0"/>
    <col customWidth="1" min="2" max="2" width="25.38"/>
    <col customWidth="1" min="3" max="3" width="24.0"/>
    <col customWidth="1" min="4" max="4" width="20.13"/>
    <col customWidth="1" min="5" max="5" width="33.38"/>
    <col customWidth="1" min="6" max="6" width="33.13"/>
    <col customWidth="1" min="7" max="7" width="17.38"/>
    <col customWidth="1" min="8" max="8" width="26.75"/>
    <col customWidth="1" min="9" max="9" width="28.13"/>
    <col customWidth="1" min="10" max="10" width="32.88"/>
    <col customWidth="1" min="11" max="11" width="21.0"/>
    <col customWidth="1" min="12" max="12" width="21.5"/>
    <col customWidth="1" min="13" max="13" width="20.0"/>
    <col customWidth="1" min="14" max="14" width="29.38"/>
    <col customWidth="1" min="15" max="15" width="27.25"/>
    <col customWidth="1" min="16" max="16" width="169.0"/>
    <col customWidth="1" min="17" max="17" width="65.88"/>
    <col customWidth="1" min="18" max="18" width="51.75"/>
    <col customWidth="1" min="19" max="19" width="32.75"/>
    <col customWidth="1" min="20" max="20" width="21.38"/>
    <col customWidth="1" min="21" max="21" width="22.88"/>
  </cols>
  <sheetData>
    <row r="1">
      <c r="A1" s="1"/>
      <c r="S1" s="89"/>
      <c r="T1" s="2"/>
      <c r="U1" s="2"/>
      <c r="V1" s="2"/>
      <c r="W1" s="2"/>
    </row>
    <row r="2">
      <c r="S2" s="89"/>
      <c r="T2" s="2"/>
      <c r="U2" s="2"/>
      <c r="V2" s="2"/>
      <c r="W2" s="2"/>
    </row>
    <row r="3">
      <c r="S3" s="89"/>
      <c r="T3" s="2"/>
      <c r="U3" s="2"/>
      <c r="V3" s="2"/>
      <c r="W3" s="2"/>
    </row>
    <row r="4" ht="56.25" customHeight="1">
      <c r="S4" s="89"/>
      <c r="T4" s="2"/>
      <c r="U4" s="2"/>
      <c r="V4" s="2"/>
      <c r="W4" s="2"/>
    </row>
    <row r="5" ht="22.5" customHeight="1">
      <c r="A5" s="21" t="s">
        <v>2</v>
      </c>
      <c r="B5" s="21" t="s">
        <v>259</v>
      </c>
      <c r="C5" s="42" t="s">
        <v>261</v>
      </c>
      <c r="D5" s="21" t="s">
        <v>5</v>
      </c>
      <c r="E5" s="37" t="s">
        <v>262</v>
      </c>
      <c r="F5" s="21" t="s">
        <v>263</v>
      </c>
      <c r="G5" s="21" t="s">
        <v>12</v>
      </c>
      <c r="H5" s="21" t="s">
        <v>9</v>
      </c>
      <c r="I5" s="42" t="s">
        <v>8</v>
      </c>
      <c r="J5" s="37" t="s">
        <v>265</v>
      </c>
      <c r="K5" s="21" t="s">
        <v>266</v>
      </c>
      <c r="L5" s="21" t="s">
        <v>268</v>
      </c>
      <c r="M5" s="37" t="s">
        <v>267</v>
      </c>
      <c r="N5" s="21" t="s">
        <v>269</v>
      </c>
      <c r="O5" s="37" t="s">
        <v>866</v>
      </c>
      <c r="P5" s="37" t="s">
        <v>271</v>
      </c>
      <c r="Q5" s="21" t="s">
        <v>274</v>
      </c>
      <c r="R5" s="37" t="s">
        <v>867</v>
      </c>
      <c r="S5" s="21" t="s">
        <v>276</v>
      </c>
      <c r="T5" s="21" t="s">
        <v>277</v>
      </c>
      <c r="U5" s="42" t="s">
        <v>22</v>
      </c>
      <c r="V5" s="153" t="s">
        <v>868</v>
      </c>
      <c r="W5" s="2"/>
    </row>
    <row r="6" ht="30.0" customHeight="1">
      <c r="A6" s="154" t="s">
        <v>72</v>
      </c>
      <c r="B6" s="155" t="s">
        <v>870</v>
      </c>
      <c r="C6" s="37" t="s">
        <v>871</v>
      </c>
      <c r="D6" s="126" t="s">
        <v>873</v>
      </c>
      <c r="E6" s="37" t="s">
        <v>874</v>
      </c>
      <c r="F6" s="126" t="s">
        <v>445</v>
      </c>
      <c r="G6" s="154" t="s">
        <v>85</v>
      </c>
      <c r="H6" s="37" t="s">
        <v>875</v>
      </c>
      <c r="I6" s="37" t="s">
        <v>484</v>
      </c>
      <c r="J6" s="128">
        <v>46188.0</v>
      </c>
      <c r="K6" s="128">
        <v>46197.0</v>
      </c>
      <c r="L6" s="127"/>
      <c r="M6" s="21" t="s">
        <v>876</v>
      </c>
      <c r="N6" s="127"/>
      <c r="O6" s="21"/>
      <c r="P6" s="21" t="s">
        <v>877</v>
      </c>
      <c r="Q6" s="127"/>
      <c r="R6" s="127"/>
      <c r="S6" s="156" t="s">
        <v>878</v>
      </c>
      <c r="T6" s="156" t="s">
        <v>879</v>
      </c>
      <c r="U6" s="50" t="s">
        <v>686</v>
      </c>
      <c r="V6" s="21"/>
      <c r="W6" s="2"/>
    </row>
    <row r="7" ht="30.0" customHeight="1">
      <c r="A7" s="154" t="s">
        <v>72</v>
      </c>
      <c r="B7" s="154" t="s">
        <v>870</v>
      </c>
      <c r="C7" s="37" t="s">
        <v>883</v>
      </c>
      <c r="D7" s="126" t="s">
        <v>873</v>
      </c>
      <c r="E7" s="37" t="s">
        <v>884</v>
      </c>
      <c r="F7" s="126" t="s">
        <v>445</v>
      </c>
      <c r="G7" s="154" t="s">
        <v>85</v>
      </c>
      <c r="H7" s="37" t="s">
        <v>364</v>
      </c>
      <c r="I7" s="37" t="s">
        <v>363</v>
      </c>
      <c r="J7" s="128">
        <v>46188.0</v>
      </c>
      <c r="K7" s="128">
        <v>46192.0</v>
      </c>
      <c r="L7" s="127"/>
      <c r="M7" s="21" t="s">
        <v>887</v>
      </c>
      <c r="N7" s="127"/>
      <c r="O7" s="21"/>
      <c r="P7" s="21" t="s">
        <v>888</v>
      </c>
      <c r="Q7" s="127"/>
      <c r="R7" s="21"/>
      <c r="S7" s="156" t="s">
        <v>890</v>
      </c>
      <c r="T7" s="156" t="s">
        <v>892</v>
      </c>
      <c r="U7" s="50" t="s">
        <v>303</v>
      </c>
      <c r="V7" s="127"/>
      <c r="W7" s="2"/>
    </row>
    <row r="8" ht="30.0" customHeight="1">
      <c r="A8" s="154" t="s">
        <v>72</v>
      </c>
      <c r="B8" s="154" t="s">
        <v>870</v>
      </c>
      <c r="C8" s="37" t="s">
        <v>895</v>
      </c>
      <c r="D8" s="126" t="s">
        <v>873</v>
      </c>
      <c r="E8" s="37" t="s">
        <v>896</v>
      </c>
      <c r="F8" s="126" t="s">
        <v>445</v>
      </c>
      <c r="G8" s="154" t="s">
        <v>85</v>
      </c>
      <c r="H8" s="37" t="s">
        <v>350</v>
      </c>
      <c r="I8" s="37" t="s">
        <v>349</v>
      </c>
      <c r="J8" s="128">
        <v>46188.0</v>
      </c>
      <c r="K8" s="128">
        <v>46198.0</v>
      </c>
      <c r="L8" s="127"/>
      <c r="M8" s="21" t="s">
        <v>898</v>
      </c>
      <c r="N8" s="127"/>
      <c r="O8" s="21"/>
      <c r="P8" s="21" t="s">
        <v>899</v>
      </c>
      <c r="Q8" s="127"/>
      <c r="R8" s="127"/>
      <c r="S8" s="127"/>
      <c r="T8" s="156" t="s">
        <v>901</v>
      </c>
      <c r="U8" s="50" t="s">
        <v>686</v>
      </c>
      <c r="V8" s="127"/>
      <c r="W8" s="2"/>
    </row>
    <row r="9" ht="30.0" customHeight="1">
      <c r="A9" s="154" t="s">
        <v>72</v>
      </c>
      <c r="B9" s="154" t="s">
        <v>870</v>
      </c>
      <c r="C9" s="21" t="s">
        <v>905</v>
      </c>
      <c r="D9" s="126" t="s">
        <v>873</v>
      </c>
      <c r="E9" s="37" t="s">
        <v>906</v>
      </c>
      <c r="F9" s="126" t="s">
        <v>445</v>
      </c>
      <c r="G9" s="154" t="s">
        <v>85</v>
      </c>
      <c r="H9" s="37" t="s">
        <v>143</v>
      </c>
      <c r="I9" s="37" t="s">
        <v>908</v>
      </c>
      <c r="J9" s="128">
        <v>46188.0</v>
      </c>
      <c r="K9" s="128">
        <v>46190.0</v>
      </c>
      <c r="L9" s="127"/>
      <c r="M9" s="21" t="s">
        <v>910</v>
      </c>
      <c r="N9" s="127"/>
      <c r="O9" s="21"/>
      <c r="P9" s="21" t="s">
        <v>912</v>
      </c>
      <c r="Q9" s="127"/>
      <c r="R9" s="21"/>
      <c r="S9" s="156" t="s">
        <v>913</v>
      </c>
      <c r="T9" s="156" t="s">
        <v>915</v>
      </c>
      <c r="U9" s="50" t="s">
        <v>686</v>
      </c>
      <c r="V9" s="127"/>
      <c r="W9" s="2"/>
    </row>
    <row r="10" ht="30.0" customHeight="1">
      <c r="A10" s="154" t="s">
        <v>72</v>
      </c>
      <c r="B10" s="154" t="s">
        <v>870</v>
      </c>
      <c r="C10" s="21" t="s">
        <v>919</v>
      </c>
      <c r="D10" s="126" t="s">
        <v>873</v>
      </c>
      <c r="E10" s="37" t="s">
        <v>920</v>
      </c>
      <c r="F10" s="126" t="s">
        <v>445</v>
      </c>
      <c r="G10" s="154" t="s">
        <v>85</v>
      </c>
      <c r="H10" s="37" t="s">
        <v>556</v>
      </c>
      <c r="I10" s="37" t="s">
        <v>506</v>
      </c>
      <c r="J10" s="128">
        <v>46188.0</v>
      </c>
      <c r="K10" s="128">
        <v>46195.0</v>
      </c>
      <c r="L10" s="127"/>
      <c r="M10" s="21" t="s">
        <v>921</v>
      </c>
      <c r="N10" s="127"/>
      <c r="O10" s="21"/>
      <c r="P10" s="21" t="s">
        <v>923</v>
      </c>
      <c r="Q10" s="127"/>
      <c r="R10" s="21"/>
      <c r="S10" s="156" t="s">
        <v>925</v>
      </c>
      <c r="T10" s="156" t="s">
        <v>927</v>
      </c>
      <c r="U10" s="50" t="s">
        <v>686</v>
      </c>
      <c r="V10" s="127"/>
      <c r="W10" s="2"/>
    </row>
    <row r="11" ht="30.0" customHeight="1">
      <c r="A11" s="154" t="s">
        <v>72</v>
      </c>
      <c r="B11" s="154" t="s">
        <v>870</v>
      </c>
      <c r="C11" s="37" t="s">
        <v>931</v>
      </c>
      <c r="D11" s="126" t="s">
        <v>873</v>
      </c>
      <c r="E11" s="37" t="s">
        <v>933</v>
      </c>
      <c r="F11" s="126" t="s">
        <v>445</v>
      </c>
      <c r="G11" s="154" t="s">
        <v>85</v>
      </c>
      <c r="H11" s="37" t="s">
        <v>934</v>
      </c>
      <c r="I11" s="37" t="s">
        <v>515</v>
      </c>
      <c r="J11" s="128">
        <v>46188.0</v>
      </c>
      <c r="K11" s="128">
        <v>46191.0</v>
      </c>
      <c r="L11" s="127"/>
      <c r="M11" s="21" t="s">
        <v>935</v>
      </c>
      <c r="N11" s="127"/>
      <c r="O11" s="21"/>
      <c r="P11" s="21" t="s">
        <v>936</v>
      </c>
      <c r="Q11" s="127"/>
      <c r="R11" s="21"/>
      <c r="S11" s="156" t="s">
        <v>938</v>
      </c>
      <c r="T11" s="156" t="s">
        <v>940</v>
      </c>
      <c r="U11" s="50" t="s">
        <v>686</v>
      </c>
      <c r="V11" s="127"/>
      <c r="W11" s="2"/>
    </row>
    <row r="12" ht="30.0" customHeight="1">
      <c r="A12" s="154" t="s">
        <v>72</v>
      </c>
      <c r="B12" s="154" t="s">
        <v>870</v>
      </c>
      <c r="C12" s="21" t="s">
        <v>945</v>
      </c>
      <c r="D12" s="126" t="s">
        <v>873</v>
      </c>
      <c r="E12" s="37" t="s">
        <v>946</v>
      </c>
      <c r="F12" s="126" t="s">
        <v>445</v>
      </c>
      <c r="G12" s="154" t="s">
        <v>85</v>
      </c>
      <c r="H12" s="37" t="s">
        <v>948</v>
      </c>
      <c r="I12" s="37" t="s">
        <v>451</v>
      </c>
      <c r="J12" s="128">
        <v>46188.0</v>
      </c>
      <c r="K12" s="128">
        <v>46204.0</v>
      </c>
      <c r="L12" s="127"/>
      <c r="M12" s="21" t="s">
        <v>949</v>
      </c>
      <c r="N12" s="21" t="s">
        <v>950</v>
      </c>
      <c r="O12" s="21"/>
      <c r="P12" s="21" t="s">
        <v>951</v>
      </c>
      <c r="Q12" s="21" t="s">
        <v>952</v>
      </c>
      <c r="R12" s="158"/>
      <c r="S12" s="159" t="s">
        <v>953</v>
      </c>
      <c r="T12" s="156" t="s">
        <v>954</v>
      </c>
      <c r="U12" s="50" t="s">
        <v>686</v>
      </c>
      <c r="V12" s="127"/>
      <c r="W12" s="2"/>
    </row>
    <row r="13" ht="30.0" customHeight="1">
      <c r="A13" s="154" t="s">
        <v>72</v>
      </c>
      <c r="B13" s="154" t="s">
        <v>870</v>
      </c>
      <c r="C13" s="21" t="s">
        <v>957</v>
      </c>
      <c r="D13" s="126" t="s">
        <v>873</v>
      </c>
      <c r="E13" s="37" t="s">
        <v>958</v>
      </c>
      <c r="F13" s="126" t="s">
        <v>445</v>
      </c>
      <c r="G13" s="154" t="s">
        <v>85</v>
      </c>
      <c r="H13" s="37" t="s">
        <v>504</v>
      </c>
      <c r="I13" s="37" t="s">
        <v>503</v>
      </c>
      <c r="J13" s="128">
        <v>46188.0</v>
      </c>
      <c r="K13" s="128">
        <v>46203.0</v>
      </c>
      <c r="L13" s="127"/>
      <c r="M13" s="21" t="s">
        <v>959</v>
      </c>
      <c r="N13" s="127"/>
      <c r="O13" s="21"/>
      <c r="P13" s="160" t="s">
        <v>960</v>
      </c>
      <c r="Q13" s="127"/>
      <c r="R13" s="127"/>
      <c r="S13" s="127"/>
      <c r="T13" s="127"/>
      <c r="U13" s="50" t="s">
        <v>303</v>
      </c>
      <c r="V13" s="127"/>
      <c r="W13" s="2"/>
    </row>
    <row r="14" ht="30.0" customHeight="1">
      <c r="A14" s="154" t="s">
        <v>72</v>
      </c>
      <c r="B14" s="154" t="s">
        <v>870</v>
      </c>
      <c r="C14" s="21" t="s">
        <v>962</v>
      </c>
      <c r="D14" s="126" t="s">
        <v>873</v>
      </c>
      <c r="E14" s="37" t="s">
        <v>964</v>
      </c>
      <c r="F14" s="126" t="s">
        <v>445</v>
      </c>
      <c r="G14" s="154" t="s">
        <v>85</v>
      </c>
      <c r="H14" s="37" t="s">
        <v>211</v>
      </c>
      <c r="I14" s="37" t="s">
        <v>209</v>
      </c>
      <c r="J14" s="128">
        <v>46188.0</v>
      </c>
      <c r="K14" s="128">
        <v>46189.0</v>
      </c>
      <c r="L14" s="127"/>
      <c r="M14" s="21" t="s">
        <v>965</v>
      </c>
      <c r="N14" s="127"/>
      <c r="O14" s="21"/>
      <c r="P14" s="21" t="s">
        <v>966</v>
      </c>
      <c r="Q14" s="127"/>
      <c r="R14" s="21"/>
      <c r="S14" s="156" t="s">
        <v>967</v>
      </c>
      <c r="T14" s="156" t="s">
        <v>968</v>
      </c>
      <c r="U14" s="50" t="s">
        <v>686</v>
      </c>
      <c r="V14" s="127"/>
      <c r="W14" s="2"/>
    </row>
    <row r="15" ht="30.0" customHeight="1">
      <c r="A15" s="154" t="s">
        <v>72</v>
      </c>
      <c r="B15" s="154" t="s">
        <v>870</v>
      </c>
      <c r="C15" s="21" t="s">
        <v>973</v>
      </c>
      <c r="D15" s="126" t="s">
        <v>873</v>
      </c>
      <c r="E15" s="37" t="s">
        <v>974</v>
      </c>
      <c r="F15" s="126" t="s">
        <v>445</v>
      </c>
      <c r="G15" s="154" t="s">
        <v>85</v>
      </c>
      <c r="H15" s="37" t="s">
        <v>538</v>
      </c>
      <c r="I15" s="37" t="s">
        <v>140</v>
      </c>
      <c r="J15" s="128">
        <v>46188.0</v>
      </c>
      <c r="K15" s="128">
        <v>46198.0</v>
      </c>
      <c r="L15" s="127"/>
      <c r="M15" s="21" t="s">
        <v>975</v>
      </c>
      <c r="N15" s="127"/>
      <c r="O15" s="21"/>
      <c r="P15" s="21" t="s">
        <v>976</v>
      </c>
      <c r="Q15" s="127"/>
      <c r="R15" s="127"/>
      <c r="S15" s="127"/>
      <c r="T15" s="156" t="s">
        <v>980</v>
      </c>
      <c r="U15" s="50" t="s">
        <v>686</v>
      </c>
      <c r="V15" s="127"/>
      <c r="W15" s="2"/>
    </row>
    <row r="16" ht="30.0" customHeight="1">
      <c r="A16" s="154" t="s">
        <v>72</v>
      </c>
      <c r="B16" s="154" t="s">
        <v>870</v>
      </c>
      <c r="C16" s="21" t="s">
        <v>983</v>
      </c>
      <c r="D16" s="126" t="s">
        <v>873</v>
      </c>
      <c r="E16" s="37" t="s">
        <v>986</v>
      </c>
      <c r="F16" s="126" t="s">
        <v>445</v>
      </c>
      <c r="G16" s="154" t="s">
        <v>575</v>
      </c>
      <c r="H16" s="21" t="s">
        <v>987</v>
      </c>
      <c r="I16" s="37" t="s">
        <v>988</v>
      </c>
      <c r="J16" s="128">
        <v>46188.0</v>
      </c>
      <c r="K16" s="131">
        <v>46190.0</v>
      </c>
      <c r="L16" s="127"/>
      <c r="M16" s="21" t="s">
        <v>990</v>
      </c>
      <c r="N16" s="127"/>
      <c r="O16" s="21"/>
      <c r="P16" s="21" t="s">
        <v>991</v>
      </c>
      <c r="Q16" s="127"/>
      <c r="R16" s="21"/>
      <c r="S16" s="156" t="s">
        <v>993</v>
      </c>
      <c r="T16" s="156" t="s">
        <v>995</v>
      </c>
      <c r="U16" s="50" t="s">
        <v>686</v>
      </c>
      <c r="V16" s="127"/>
      <c r="W16" s="2"/>
    </row>
    <row r="17" ht="30.0" customHeight="1">
      <c r="A17" s="154" t="s">
        <v>72</v>
      </c>
      <c r="B17" s="154" t="s">
        <v>870</v>
      </c>
      <c r="C17" s="21" t="s">
        <v>997</v>
      </c>
      <c r="D17" s="126" t="s">
        <v>873</v>
      </c>
      <c r="E17" s="37" t="s">
        <v>999</v>
      </c>
      <c r="F17" s="126" t="s">
        <v>445</v>
      </c>
      <c r="G17" s="154" t="s">
        <v>85</v>
      </c>
      <c r="H17" s="21" t="s">
        <v>1000</v>
      </c>
      <c r="I17" s="37" t="s">
        <v>436</v>
      </c>
      <c r="J17" s="128">
        <v>46188.0</v>
      </c>
      <c r="K17" s="131">
        <v>46196.0</v>
      </c>
      <c r="L17" s="127"/>
      <c r="M17" s="21" t="s">
        <v>1002</v>
      </c>
      <c r="N17" s="127"/>
      <c r="O17" s="21"/>
      <c r="P17" s="21" t="s">
        <v>1003</v>
      </c>
      <c r="Q17" s="21"/>
      <c r="R17" s="21"/>
      <c r="S17" s="156" t="s">
        <v>1005</v>
      </c>
      <c r="T17" s="156" t="s">
        <v>1008</v>
      </c>
      <c r="U17" s="50" t="s">
        <v>686</v>
      </c>
      <c r="V17" s="127"/>
      <c r="W17" s="2"/>
    </row>
    <row r="18" ht="30.0" customHeight="1">
      <c r="A18" s="154" t="s">
        <v>72</v>
      </c>
      <c r="B18" s="154" t="s">
        <v>870</v>
      </c>
      <c r="C18" s="21" t="s">
        <v>1011</v>
      </c>
      <c r="D18" s="126" t="s">
        <v>873</v>
      </c>
      <c r="E18" s="37" t="s">
        <v>1012</v>
      </c>
      <c r="F18" s="126" t="s">
        <v>445</v>
      </c>
      <c r="G18" s="154" t="s">
        <v>85</v>
      </c>
      <c r="H18" s="21" t="s">
        <v>1014</v>
      </c>
      <c r="I18" s="21" t="s">
        <v>1015</v>
      </c>
      <c r="J18" s="128">
        <v>46188.0</v>
      </c>
      <c r="K18" s="128">
        <v>46198.0</v>
      </c>
      <c r="L18" s="127"/>
      <c r="M18" s="21" t="s">
        <v>1016</v>
      </c>
      <c r="N18" s="127"/>
      <c r="O18" s="21"/>
      <c r="P18" s="21" t="s">
        <v>1018</v>
      </c>
      <c r="Q18" s="21"/>
      <c r="R18" s="21"/>
      <c r="S18" s="21"/>
      <c r="T18" s="156" t="s">
        <v>1020</v>
      </c>
      <c r="U18" s="50" t="s">
        <v>686</v>
      </c>
      <c r="V18" s="127"/>
      <c r="W18" s="2"/>
    </row>
    <row r="19" ht="30.0" customHeight="1">
      <c r="A19" s="154" t="s">
        <v>72</v>
      </c>
      <c r="B19" s="154" t="s">
        <v>870</v>
      </c>
      <c r="C19" s="37" t="s">
        <v>1024</v>
      </c>
      <c r="D19" s="126" t="s">
        <v>873</v>
      </c>
      <c r="E19" s="37" t="s">
        <v>1025</v>
      </c>
      <c r="F19" s="126" t="s">
        <v>283</v>
      </c>
      <c r="G19" s="154" t="s">
        <v>85</v>
      </c>
      <c r="H19" s="21" t="s">
        <v>122</v>
      </c>
      <c r="I19" s="21" t="s">
        <v>37</v>
      </c>
      <c r="J19" s="128">
        <v>46191.0</v>
      </c>
      <c r="K19" s="128">
        <v>46209.0</v>
      </c>
      <c r="L19" s="127"/>
      <c r="M19" s="21" t="s">
        <v>1028</v>
      </c>
      <c r="N19" s="127"/>
      <c r="O19" s="21"/>
      <c r="P19" s="21" t="s">
        <v>1029</v>
      </c>
      <c r="Q19" s="21"/>
      <c r="R19" s="21"/>
      <c r="S19" s="21"/>
      <c r="T19" s="156" t="s">
        <v>1032</v>
      </c>
      <c r="U19" s="50" t="s">
        <v>303</v>
      </c>
      <c r="V19" s="156" t="s">
        <v>1037</v>
      </c>
      <c r="W19" s="2"/>
    </row>
    <row r="20" ht="30.0" customHeight="1">
      <c r="A20" s="154" t="s">
        <v>72</v>
      </c>
      <c r="B20" s="154" t="s">
        <v>870</v>
      </c>
      <c r="C20" s="37" t="s">
        <v>1024</v>
      </c>
      <c r="D20" s="126" t="s">
        <v>873</v>
      </c>
      <c r="E20" s="37" t="s">
        <v>1025</v>
      </c>
      <c r="F20" s="126" t="s">
        <v>283</v>
      </c>
      <c r="G20" s="154" t="s">
        <v>85</v>
      </c>
      <c r="H20" s="21" t="s">
        <v>81</v>
      </c>
      <c r="I20" s="21" t="s">
        <v>37</v>
      </c>
      <c r="J20" s="128">
        <v>46191.0</v>
      </c>
      <c r="K20" s="131">
        <v>46209.0</v>
      </c>
      <c r="L20" s="127"/>
      <c r="M20" s="21" t="s">
        <v>1045</v>
      </c>
      <c r="N20" s="127"/>
      <c r="O20" s="21"/>
      <c r="P20" s="21" t="s">
        <v>1048</v>
      </c>
      <c r="Q20" s="21"/>
      <c r="R20" s="21"/>
      <c r="S20" s="21"/>
      <c r="T20" s="156" t="s">
        <v>1051</v>
      </c>
      <c r="U20" s="50" t="s">
        <v>303</v>
      </c>
      <c r="V20" s="156" t="s">
        <v>1037</v>
      </c>
      <c r="W20" s="2"/>
    </row>
    <row r="21" ht="30.0" customHeight="1">
      <c r="A21" s="154" t="s">
        <v>72</v>
      </c>
      <c r="B21" s="154" t="s">
        <v>870</v>
      </c>
      <c r="C21" s="37" t="s">
        <v>1024</v>
      </c>
      <c r="D21" s="126" t="s">
        <v>873</v>
      </c>
      <c r="E21" s="37" t="s">
        <v>1025</v>
      </c>
      <c r="F21" s="126" t="s">
        <v>283</v>
      </c>
      <c r="G21" s="154" t="s">
        <v>85</v>
      </c>
      <c r="H21" s="21" t="s">
        <v>143</v>
      </c>
      <c r="I21" s="21" t="s">
        <v>37</v>
      </c>
      <c r="J21" s="128">
        <v>46191.0</v>
      </c>
      <c r="K21" s="128">
        <v>46209.0</v>
      </c>
      <c r="L21" s="127"/>
      <c r="M21" s="21" t="s">
        <v>1062</v>
      </c>
      <c r="N21" s="127"/>
      <c r="O21" s="21"/>
      <c r="P21" s="21" t="s">
        <v>1064</v>
      </c>
      <c r="Q21" s="21"/>
      <c r="R21" s="21"/>
      <c r="S21" s="21"/>
      <c r="T21" s="156" t="s">
        <v>1066</v>
      </c>
      <c r="U21" s="50" t="s">
        <v>686</v>
      </c>
      <c r="V21" s="156" t="s">
        <v>1037</v>
      </c>
      <c r="W21" s="2"/>
    </row>
    <row r="22" ht="30.0" customHeight="1">
      <c r="A22" s="154" t="s">
        <v>72</v>
      </c>
      <c r="B22" s="154" t="s">
        <v>870</v>
      </c>
      <c r="C22" s="37" t="s">
        <v>1024</v>
      </c>
      <c r="D22" s="126" t="s">
        <v>873</v>
      </c>
      <c r="E22" s="37" t="s">
        <v>1025</v>
      </c>
      <c r="F22" s="126" t="s">
        <v>283</v>
      </c>
      <c r="G22" s="154" t="s">
        <v>85</v>
      </c>
      <c r="H22" s="21" t="s">
        <v>191</v>
      </c>
      <c r="I22" s="21" t="s">
        <v>188</v>
      </c>
      <c r="J22" s="128">
        <v>46191.0</v>
      </c>
      <c r="K22" s="128">
        <v>46210.0</v>
      </c>
      <c r="L22" s="127"/>
      <c r="M22" s="21" t="s">
        <v>1074</v>
      </c>
      <c r="N22" s="127"/>
      <c r="O22" s="21"/>
      <c r="P22" s="21" t="s">
        <v>1076</v>
      </c>
      <c r="Q22" s="127"/>
      <c r="R22" s="21"/>
      <c r="S22" s="21"/>
      <c r="T22" s="156" t="s">
        <v>1079</v>
      </c>
      <c r="U22" s="50" t="s">
        <v>303</v>
      </c>
      <c r="V22" s="156" t="s">
        <v>1037</v>
      </c>
      <c r="W22" s="2"/>
    </row>
    <row r="23" ht="30.0" customHeight="1">
      <c r="A23" s="154" t="s">
        <v>72</v>
      </c>
      <c r="B23" s="154" t="s">
        <v>870</v>
      </c>
      <c r="C23" s="37" t="s">
        <v>1024</v>
      </c>
      <c r="D23" s="126" t="s">
        <v>873</v>
      </c>
      <c r="E23" s="37" t="s">
        <v>1025</v>
      </c>
      <c r="F23" s="126" t="s">
        <v>283</v>
      </c>
      <c r="G23" s="154" t="s">
        <v>85</v>
      </c>
      <c r="H23" s="21" t="s">
        <v>172</v>
      </c>
      <c r="I23" s="21" t="s">
        <v>168</v>
      </c>
      <c r="J23" s="128">
        <v>46191.0</v>
      </c>
      <c r="K23" s="128">
        <v>46211.0</v>
      </c>
      <c r="L23" s="127"/>
      <c r="M23" s="21" t="s">
        <v>1089</v>
      </c>
      <c r="N23" s="127"/>
      <c r="O23" s="21"/>
      <c r="P23" s="167" t="s">
        <v>1090</v>
      </c>
      <c r="Q23" s="127"/>
      <c r="R23" s="21"/>
      <c r="S23" s="21"/>
      <c r="T23" s="21"/>
      <c r="U23" s="50" t="s">
        <v>303</v>
      </c>
      <c r="V23" s="156" t="s">
        <v>1037</v>
      </c>
      <c r="W23" s="2"/>
    </row>
    <row r="24" ht="30.0" customHeight="1">
      <c r="A24" s="154" t="s">
        <v>72</v>
      </c>
      <c r="B24" s="154" t="s">
        <v>870</v>
      </c>
      <c r="C24" s="37" t="s">
        <v>1024</v>
      </c>
      <c r="D24" s="126" t="s">
        <v>873</v>
      </c>
      <c r="E24" s="37" t="s">
        <v>1025</v>
      </c>
      <c r="F24" s="126" t="s">
        <v>283</v>
      </c>
      <c r="G24" s="154" t="s">
        <v>85</v>
      </c>
      <c r="H24" s="21" t="s">
        <v>211</v>
      </c>
      <c r="I24" s="21" t="s">
        <v>209</v>
      </c>
      <c r="J24" s="128">
        <v>46191.0</v>
      </c>
      <c r="K24" s="128"/>
      <c r="L24" s="127"/>
      <c r="M24" s="21"/>
      <c r="N24" s="127"/>
      <c r="O24" s="21"/>
      <c r="P24" s="21"/>
      <c r="Q24" s="127"/>
      <c r="R24" s="21"/>
      <c r="S24" s="21"/>
      <c r="T24" s="21"/>
      <c r="U24" s="50" t="s">
        <v>1105</v>
      </c>
      <c r="V24" s="156" t="s">
        <v>1037</v>
      </c>
      <c r="W24" s="2"/>
    </row>
    <row r="25" ht="30.0" customHeight="1">
      <c r="A25" s="154" t="s">
        <v>72</v>
      </c>
      <c r="B25" s="154" t="s">
        <v>870</v>
      </c>
      <c r="C25" s="37" t="s">
        <v>1024</v>
      </c>
      <c r="D25" s="126" t="s">
        <v>873</v>
      </c>
      <c r="E25" s="37" t="s">
        <v>1025</v>
      </c>
      <c r="F25" s="126" t="s">
        <v>283</v>
      </c>
      <c r="G25" s="154" t="s">
        <v>85</v>
      </c>
      <c r="H25" s="21" t="s">
        <v>234</v>
      </c>
      <c r="I25" s="21" t="s">
        <v>1110</v>
      </c>
      <c r="J25" s="128">
        <v>46191.0</v>
      </c>
      <c r="K25" s="128">
        <v>46211.0</v>
      </c>
      <c r="L25" s="127"/>
      <c r="M25" s="21" t="s">
        <v>1114</v>
      </c>
      <c r="N25" s="127"/>
      <c r="O25" s="21"/>
      <c r="P25" s="167" t="s">
        <v>1116</v>
      </c>
      <c r="Q25" s="127"/>
      <c r="R25" s="21"/>
      <c r="S25" s="21"/>
      <c r="T25" s="21"/>
      <c r="U25" s="50" t="s">
        <v>303</v>
      </c>
      <c r="V25" s="156" t="s">
        <v>1037</v>
      </c>
      <c r="W25" s="2"/>
    </row>
    <row r="26" ht="30.0" customHeight="1">
      <c r="A26" s="154" t="s">
        <v>72</v>
      </c>
      <c r="B26" s="154" t="s">
        <v>870</v>
      </c>
      <c r="C26" s="37" t="s">
        <v>1024</v>
      </c>
      <c r="D26" s="126" t="s">
        <v>873</v>
      </c>
      <c r="E26" s="37" t="s">
        <v>1025</v>
      </c>
      <c r="F26" s="126" t="s">
        <v>283</v>
      </c>
      <c r="G26" s="154" t="s">
        <v>85</v>
      </c>
      <c r="H26" s="21" t="s">
        <v>516</v>
      </c>
      <c r="I26" s="21" t="s">
        <v>515</v>
      </c>
      <c r="J26" s="128">
        <v>46191.0</v>
      </c>
      <c r="K26" s="128"/>
      <c r="L26" s="127"/>
      <c r="M26" s="21"/>
      <c r="N26" s="127"/>
      <c r="O26" s="21"/>
      <c r="P26" s="167" t="s">
        <v>1128</v>
      </c>
      <c r="Q26" s="127"/>
      <c r="R26" s="21"/>
      <c r="S26" s="21"/>
      <c r="T26" s="21"/>
      <c r="U26" s="50" t="s">
        <v>303</v>
      </c>
      <c r="V26" s="156" t="s">
        <v>1037</v>
      </c>
      <c r="W26" s="2"/>
    </row>
    <row r="27" ht="30.0" customHeight="1">
      <c r="A27" s="154" t="s">
        <v>72</v>
      </c>
      <c r="B27" s="154" t="s">
        <v>870</v>
      </c>
      <c r="C27" s="37" t="s">
        <v>1024</v>
      </c>
      <c r="D27" s="126" t="s">
        <v>873</v>
      </c>
      <c r="E27" s="37" t="s">
        <v>1025</v>
      </c>
      <c r="F27" s="126" t="s">
        <v>283</v>
      </c>
      <c r="G27" s="154" t="s">
        <v>85</v>
      </c>
      <c r="H27" s="21" t="s">
        <v>298</v>
      </c>
      <c r="I27" s="21" t="s">
        <v>297</v>
      </c>
      <c r="J27" s="128">
        <v>46191.0</v>
      </c>
      <c r="K27" s="128"/>
      <c r="L27" s="127"/>
      <c r="M27" s="21"/>
      <c r="N27" s="127"/>
      <c r="O27" s="21"/>
      <c r="P27" s="21"/>
      <c r="Q27" s="127"/>
      <c r="R27" s="21"/>
      <c r="S27" s="21"/>
      <c r="T27" s="21"/>
      <c r="U27" s="50" t="s">
        <v>1105</v>
      </c>
      <c r="V27" s="156" t="s">
        <v>1037</v>
      </c>
      <c r="W27" s="2"/>
    </row>
    <row r="28" ht="30.0" customHeight="1">
      <c r="A28" s="154" t="s">
        <v>72</v>
      </c>
      <c r="B28" s="154" t="s">
        <v>870</v>
      </c>
      <c r="C28" s="37" t="s">
        <v>1024</v>
      </c>
      <c r="D28" s="126" t="s">
        <v>873</v>
      </c>
      <c r="E28" s="37" t="s">
        <v>1025</v>
      </c>
      <c r="F28" s="126" t="s">
        <v>283</v>
      </c>
      <c r="G28" s="154" t="s">
        <v>85</v>
      </c>
      <c r="H28" s="21" t="s">
        <v>482</v>
      </c>
      <c r="I28" s="21" t="s">
        <v>480</v>
      </c>
      <c r="J28" s="128">
        <v>46191.0</v>
      </c>
      <c r="K28" s="128">
        <v>46216.0</v>
      </c>
      <c r="L28" s="131"/>
      <c r="M28" s="21" t="s">
        <v>1154</v>
      </c>
      <c r="N28" s="21"/>
      <c r="O28" s="127"/>
      <c r="P28" s="167" t="s">
        <v>1155</v>
      </c>
      <c r="Q28" s="21"/>
      <c r="R28" s="21"/>
      <c r="S28" s="21"/>
      <c r="T28" s="127"/>
      <c r="U28" s="50" t="s">
        <v>303</v>
      </c>
      <c r="V28" s="156" t="s">
        <v>1037</v>
      </c>
      <c r="W28" s="2"/>
    </row>
    <row r="29" ht="30.0" customHeight="1">
      <c r="A29" s="154" t="s">
        <v>72</v>
      </c>
      <c r="B29" s="154" t="s">
        <v>870</v>
      </c>
      <c r="C29" s="37" t="s">
        <v>1024</v>
      </c>
      <c r="D29" s="126" t="s">
        <v>873</v>
      </c>
      <c r="E29" s="37" t="s">
        <v>1025</v>
      </c>
      <c r="F29" s="126" t="s">
        <v>283</v>
      </c>
      <c r="G29" s="154" t="s">
        <v>85</v>
      </c>
      <c r="H29" s="21" t="s">
        <v>364</v>
      </c>
      <c r="I29" s="21" t="s">
        <v>363</v>
      </c>
      <c r="J29" s="128">
        <v>46191.0</v>
      </c>
      <c r="K29" s="128">
        <v>46218.0</v>
      </c>
      <c r="L29" s="127"/>
      <c r="M29" s="21" t="s">
        <v>1162</v>
      </c>
      <c r="N29" s="127"/>
      <c r="O29" s="21"/>
      <c r="P29" s="21" t="s">
        <v>1029</v>
      </c>
      <c r="Q29" s="127"/>
      <c r="R29" s="21"/>
      <c r="S29" s="21"/>
      <c r="T29" s="156" t="s">
        <v>1165</v>
      </c>
      <c r="U29" s="50" t="s">
        <v>303</v>
      </c>
      <c r="V29" s="156" t="s">
        <v>1037</v>
      </c>
      <c r="W29" s="2"/>
    </row>
    <row r="30" ht="30.0" customHeight="1">
      <c r="A30" s="154" t="s">
        <v>72</v>
      </c>
      <c r="B30" s="154" t="s">
        <v>870</v>
      </c>
      <c r="C30" s="37" t="s">
        <v>1024</v>
      </c>
      <c r="D30" s="126" t="s">
        <v>873</v>
      </c>
      <c r="E30" s="37" t="s">
        <v>1025</v>
      </c>
      <c r="F30" s="126" t="s">
        <v>283</v>
      </c>
      <c r="G30" s="154" t="s">
        <v>85</v>
      </c>
      <c r="H30" s="21" t="s">
        <v>414</v>
      </c>
      <c r="I30" s="21" t="s">
        <v>412</v>
      </c>
      <c r="J30" s="128">
        <v>46191.0</v>
      </c>
      <c r="K30" s="128">
        <v>46217.0</v>
      </c>
      <c r="L30" s="128"/>
      <c r="M30" s="21" t="s">
        <v>1173</v>
      </c>
      <c r="N30" s="21"/>
      <c r="O30" s="21"/>
      <c r="P30" s="167" t="s">
        <v>1174</v>
      </c>
      <c r="Q30" s="21"/>
      <c r="R30" s="21"/>
      <c r="S30" s="21"/>
      <c r="T30" s="156" t="s">
        <v>1175</v>
      </c>
      <c r="U30" s="50" t="s">
        <v>303</v>
      </c>
      <c r="V30" s="156" t="s">
        <v>1037</v>
      </c>
      <c r="W30" s="2"/>
    </row>
    <row r="31" ht="30.0" customHeight="1">
      <c r="A31" s="154" t="s">
        <v>72</v>
      </c>
      <c r="B31" s="154" t="s">
        <v>870</v>
      </c>
      <c r="C31" s="37" t="s">
        <v>1024</v>
      </c>
      <c r="D31" s="126" t="s">
        <v>873</v>
      </c>
      <c r="E31" s="37" t="s">
        <v>1025</v>
      </c>
      <c r="F31" s="126" t="s">
        <v>283</v>
      </c>
      <c r="G31" s="154" t="s">
        <v>85</v>
      </c>
      <c r="H31" s="21" t="s">
        <v>387</v>
      </c>
      <c r="I31" s="21" t="s">
        <v>383</v>
      </c>
      <c r="J31" s="128">
        <v>46191.0</v>
      </c>
      <c r="K31" s="128">
        <v>46219.0</v>
      </c>
      <c r="L31" s="127"/>
      <c r="M31" s="21" t="s">
        <v>1181</v>
      </c>
      <c r="N31" s="127"/>
      <c r="O31" s="21"/>
      <c r="P31" s="167" t="s">
        <v>1029</v>
      </c>
      <c r="Q31" s="21"/>
      <c r="R31" s="21"/>
      <c r="S31" s="21"/>
      <c r="T31" s="156" t="s">
        <v>1183</v>
      </c>
      <c r="U31" s="50" t="s">
        <v>303</v>
      </c>
      <c r="V31" s="156" t="s">
        <v>1037</v>
      </c>
      <c r="W31" s="2"/>
    </row>
    <row r="32" ht="30.0" customHeight="1">
      <c r="A32" s="154" t="s">
        <v>72</v>
      </c>
      <c r="B32" s="154" t="s">
        <v>870</v>
      </c>
      <c r="C32" s="37" t="s">
        <v>1024</v>
      </c>
      <c r="D32" s="126" t="s">
        <v>873</v>
      </c>
      <c r="E32" s="37" t="s">
        <v>1025</v>
      </c>
      <c r="F32" s="126" t="s">
        <v>283</v>
      </c>
      <c r="G32" s="154" t="s">
        <v>85</v>
      </c>
      <c r="H32" s="21" t="s">
        <v>350</v>
      </c>
      <c r="I32" s="21" t="s">
        <v>349</v>
      </c>
      <c r="J32" s="128">
        <v>46191.0</v>
      </c>
      <c r="K32" s="128"/>
      <c r="L32" s="127"/>
      <c r="M32" s="21"/>
      <c r="N32" s="127"/>
      <c r="O32" s="21"/>
      <c r="P32" s="21"/>
      <c r="Q32" s="21"/>
      <c r="R32" s="21"/>
      <c r="S32" s="21"/>
      <c r="T32" s="127"/>
      <c r="U32" s="50" t="s">
        <v>1105</v>
      </c>
      <c r="V32" s="156" t="s">
        <v>1037</v>
      </c>
      <c r="W32" s="2"/>
    </row>
    <row r="33" ht="30.0" customHeight="1">
      <c r="A33" s="154" t="s">
        <v>72</v>
      </c>
      <c r="B33" s="154" t="s">
        <v>870</v>
      </c>
      <c r="C33" s="37" t="s">
        <v>1024</v>
      </c>
      <c r="D33" s="126" t="s">
        <v>873</v>
      </c>
      <c r="E33" s="37" t="s">
        <v>1025</v>
      </c>
      <c r="F33" s="126" t="s">
        <v>283</v>
      </c>
      <c r="G33" s="154" t="s">
        <v>85</v>
      </c>
      <c r="H33" s="21" t="s">
        <v>548</v>
      </c>
      <c r="I33" s="21" t="s">
        <v>547</v>
      </c>
      <c r="J33" s="128">
        <v>46191.0</v>
      </c>
      <c r="K33" s="128"/>
      <c r="L33" s="127"/>
      <c r="M33" s="21"/>
      <c r="N33" s="127"/>
      <c r="O33" s="21"/>
      <c r="P33" s="21"/>
      <c r="Q33" s="21"/>
      <c r="R33" s="21"/>
      <c r="S33" s="21"/>
      <c r="T33" s="127"/>
      <c r="U33" s="50" t="s">
        <v>1105</v>
      </c>
      <c r="V33" s="156" t="s">
        <v>1037</v>
      </c>
      <c r="W33" s="2"/>
    </row>
    <row r="34" ht="30.0" customHeight="1">
      <c r="A34" s="154" t="s">
        <v>72</v>
      </c>
      <c r="B34" s="154" t="s">
        <v>870</v>
      </c>
      <c r="C34" s="37" t="s">
        <v>1024</v>
      </c>
      <c r="D34" s="126" t="s">
        <v>873</v>
      </c>
      <c r="E34" s="37" t="s">
        <v>1025</v>
      </c>
      <c r="F34" s="126" t="s">
        <v>283</v>
      </c>
      <c r="G34" s="154" t="s">
        <v>85</v>
      </c>
      <c r="H34" s="21" t="s">
        <v>538</v>
      </c>
      <c r="I34" s="21" t="s">
        <v>140</v>
      </c>
      <c r="J34" s="128">
        <v>46191.0</v>
      </c>
      <c r="K34" s="131"/>
      <c r="L34" s="127"/>
      <c r="M34" s="21"/>
      <c r="N34" s="127"/>
      <c r="O34" s="21"/>
      <c r="P34" s="21"/>
      <c r="Q34" s="21"/>
      <c r="R34" s="21"/>
      <c r="S34" s="21"/>
      <c r="T34" s="127"/>
      <c r="U34" s="50" t="s">
        <v>1105</v>
      </c>
      <c r="V34" s="156" t="s">
        <v>1037</v>
      </c>
      <c r="W34" s="2"/>
    </row>
    <row r="35" ht="30.0" customHeight="1">
      <c r="A35" s="154" t="s">
        <v>72</v>
      </c>
      <c r="B35" s="154" t="s">
        <v>870</v>
      </c>
      <c r="C35" s="37" t="s">
        <v>1024</v>
      </c>
      <c r="D35" s="126" t="s">
        <v>873</v>
      </c>
      <c r="E35" s="37" t="s">
        <v>1025</v>
      </c>
      <c r="F35" s="126" t="s">
        <v>283</v>
      </c>
      <c r="G35" s="154" t="s">
        <v>85</v>
      </c>
      <c r="H35" s="21" t="s">
        <v>532</v>
      </c>
      <c r="I35" s="21" t="s">
        <v>531</v>
      </c>
      <c r="J35" s="128">
        <v>46191.0</v>
      </c>
      <c r="K35" s="131"/>
      <c r="L35" s="128"/>
      <c r="M35" s="21"/>
      <c r="N35" s="21"/>
      <c r="O35" s="21"/>
      <c r="P35" s="21"/>
      <c r="Q35" s="21"/>
      <c r="R35" s="21"/>
      <c r="S35" s="21"/>
      <c r="T35" s="127"/>
      <c r="U35" s="50" t="s">
        <v>1105</v>
      </c>
      <c r="V35" s="156" t="s">
        <v>1037</v>
      </c>
      <c r="W35" s="2"/>
    </row>
    <row r="36" ht="30.0" customHeight="1">
      <c r="A36" s="154" t="s">
        <v>72</v>
      </c>
      <c r="B36" s="154" t="s">
        <v>870</v>
      </c>
      <c r="C36" s="37" t="s">
        <v>1024</v>
      </c>
      <c r="D36" s="126" t="s">
        <v>873</v>
      </c>
      <c r="E36" s="37" t="s">
        <v>1025</v>
      </c>
      <c r="F36" s="126" t="s">
        <v>283</v>
      </c>
      <c r="G36" s="154" t="s">
        <v>85</v>
      </c>
      <c r="H36" s="21" t="s">
        <v>400</v>
      </c>
      <c r="I36" s="21" t="s">
        <v>398</v>
      </c>
      <c r="J36" s="128">
        <v>46191.0</v>
      </c>
      <c r="K36" s="128">
        <v>46233.0</v>
      </c>
      <c r="L36" s="127"/>
      <c r="M36" s="21" t="s">
        <v>1207</v>
      </c>
      <c r="N36" s="21"/>
      <c r="O36" s="21"/>
      <c r="P36" s="21" t="s">
        <v>1209</v>
      </c>
      <c r="Q36" s="21"/>
      <c r="R36" s="21"/>
      <c r="S36" s="21"/>
      <c r="T36" s="156" t="s">
        <v>1212</v>
      </c>
      <c r="U36" s="50" t="s">
        <v>303</v>
      </c>
      <c r="V36" s="156" t="s">
        <v>1037</v>
      </c>
      <c r="W36" s="2"/>
    </row>
    <row r="37" ht="30.0" customHeight="1">
      <c r="A37" s="154" t="s">
        <v>72</v>
      </c>
      <c r="B37" s="154" t="s">
        <v>870</v>
      </c>
      <c r="C37" s="37" t="s">
        <v>1024</v>
      </c>
      <c r="D37" s="126" t="s">
        <v>873</v>
      </c>
      <c r="E37" s="37" t="s">
        <v>1025</v>
      </c>
      <c r="F37" s="126" t="s">
        <v>283</v>
      </c>
      <c r="G37" s="154" t="s">
        <v>85</v>
      </c>
      <c r="H37" s="21" t="s">
        <v>504</v>
      </c>
      <c r="I37" s="21" t="s">
        <v>503</v>
      </c>
      <c r="J37" s="128">
        <v>46191.0</v>
      </c>
      <c r="K37" s="128">
        <v>46232.0</v>
      </c>
      <c r="L37" s="127"/>
      <c r="M37" s="21" t="s">
        <v>1216</v>
      </c>
      <c r="N37" s="127"/>
      <c r="O37" s="21"/>
      <c r="P37" s="167" t="s">
        <v>1029</v>
      </c>
      <c r="Q37" s="21"/>
      <c r="R37" s="21"/>
      <c r="S37" s="21"/>
      <c r="T37" s="156" t="s">
        <v>1217</v>
      </c>
      <c r="U37" s="50" t="s">
        <v>303</v>
      </c>
      <c r="V37" s="156" t="s">
        <v>1037</v>
      </c>
      <c r="W37" s="2"/>
    </row>
    <row r="38" ht="30.0" customHeight="1">
      <c r="A38" s="154" t="s">
        <v>72</v>
      </c>
      <c r="B38" s="154" t="s">
        <v>870</v>
      </c>
      <c r="C38" s="37" t="s">
        <v>1024</v>
      </c>
      <c r="D38" s="126" t="s">
        <v>873</v>
      </c>
      <c r="E38" s="37" t="s">
        <v>1025</v>
      </c>
      <c r="F38" s="126" t="s">
        <v>283</v>
      </c>
      <c r="G38" s="154" t="s">
        <v>85</v>
      </c>
      <c r="H38" s="21" t="s">
        <v>273</v>
      </c>
      <c r="I38" s="148" t="s">
        <v>154</v>
      </c>
      <c r="J38" s="128">
        <v>46191.0</v>
      </c>
      <c r="K38" s="131">
        <v>46231.0</v>
      </c>
      <c r="L38" s="127"/>
      <c r="M38" s="21" t="s">
        <v>1225</v>
      </c>
      <c r="N38" s="127"/>
      <c r="O38" s="21"/>
      <c r="P38" s="21" t="s">
        <v>1029</v>
      </c>
      <c r="Q38" s="21"/>
      <c r="R38" s="21"/>
      <c r="S38" s="21"/>
      <c r="T38" s="156" t="s">
        <v>1228</v>
      </c>
      <c r="U38" s="50" t="s">
        <v>303</v>
      </c>
      <c r="V38" s="156" t="s">
        <v>1037</v>
      </c>
      <c r="W38" s="2"/>
    </row>
    <row r="39" ht="30.0" customHeight="1">
      <c r="A39" s="154" t="s">
        <v>72</v>
      </c>
      <c r="B39" s="154" t="s">
        <v>870</v>
      </c>
      <c r="C39" s="37" t="s">
        <v>1024</v>
      </c>
      <c r="D39" s="126" t="s">
        <v>873</v>
      </c>
      <c r="E39" s="37" t="s">
        <v>1025</v>
      </c>
      <c r="F39" s="126" t="s">
        <v>283</v>
      </c>
      <c r="G39" s="154" t="s">
        <v>85</v>
      </c>
      <c r="H39" s="21" t="s">
        <v>556</v>
      </c>
      <c r="I39" s="21" t="s">
        <v>506</v>
      </c>
      <c r="J39" s="128">
        <v>46191.0</v>
      </c>
      <c r="K39" s="131"/>
      <c r="L39" s="127"/>
      <c r="M39" s="21"/>
      <c r="N39" s="127"/>
      <c r="O39" s="21"/>
      <c r="P39" s="21"/>
      <c r="Q39" s="21"/>
      <c r="R39" s="21"/>
      <c r="S39" s="21"/>
      <c r="T39" s="21"/>
      <c r="U39" s="50" t="s">
        <v>1105</v>
      </c>
      <c r="V39" s="156" t="s">
        <v>1037</v>
      </c>
      <c r="W39" s="2"/>
    </row>
    <row r="40" ht="30.0" customHeight="1">
      <c r="A40" s="154" t="s">
        <v>72</v>
      </c>
      <c r="B40" s="154" t="s">
        <v>870</v>
      </c>
      <c r="C40" s="37" t="s">
        <v>1024</v>
      </c>
      <c r="D40" s="126" t="s">
        <v>873</v>
      </c>
      <c r="E40" s="37" t="s">
        <v>1025</v>
      </c>
      <c r="F40" s="126" t="s">
        <v>283</v>
      </c>
      <c r="G40" s="154" t="s">
        <v>85</v>
      </c>
      <c r="H40" s="21" t="s">
        <v>566</v>
      </c>
      <c r="I40" s="21" t="s">
        <v>484</v>
      </c>
      <c r="J40" s="128">
        <v>46191.0</v>
      </c>
      <c r="K40" s="131">
        <v>46220.0</v>
      </c>
      <c r="L40" s="128"/>
      <c r="M40" s="21" t="s">
        <v>1237</v>
      </c>
      <c r="N40" s="21"/>
      <c r="O40" s="21"/>
      <c r="P40" s="21" t="s">
        <v>1239</v>
      </c>
      <c r="Q40" s="21"/>
      <c r="R40" s="21"/>
      <c r="S40" s="21"/>
      <c r="T40" s="156" t="s">
        <v>1242</v>
      </c>
      <c r="U40" s="50" t="s">
        <v>303</v>
      </c>
      <c r="V40" s="156" t="s">
        <v>1037</v>
      </c>
      <c r="W40" s="2"/>
    </row>
    <row r="41" ht="30.0" customHeight="1">
      <c r="A41" s="154" t="s">
        <v>72</v>
      </c>
      <c r="B41" s="154" t="s">
        <v>870</v>
      </c>
      <c r="C41" s="37" t="s">
        <v>1024</v>
      </c>
      <c r="D41" s="126" t="s">
        <v>873</v>
      </c>
      <c r="E41" s="37" t="s">
        <v>1025</v>
      </c>
      <c r="F41" s="126" t="s">
        <v>283</v>
      </c>
      <c r="G41" s="154" t="s">
        <v>85</v>
      </c>
      <c r="H41" s="21" t="s">
        <v>525</v>
      </c>
      <c r="I41" s="21" t="s">
        <v>499</v>
      </c>
      <c r="J41" s="128">
        <v>46191.0</v>
      </c>
      <c r="K41" s="128">
        <v>46220.0</v>
      </c>
      <c r="L41" s="127"/>
      <c r="M41" s="21" t="s">
        <v>1249</v>
      </c>
      <c r="N41" s="127"/>
      <c r="O41" s="21"/>
      <c r="P41" s="21" t="s">
        <v>1250</v>
      </c>
      <c r="Q41" s="21"/>
      <c r="R41" s="21"/>
      <c r="S41" s="21"/>
      <c r="T41" s="156" t="s">
        <v>1253</v>
      </c>
      <c r="U41" s="50" t="s">
        <v>303</v>
      </c>
      <c r="V41" s="156" t="s">
        <v>1037</v>
      </c>
      <c r="W41" s="2"/>
    </row>
    <row r="42" ht="30.0" customHeight="1">
      <c r="A42" s="154" t="s">
        <v>72</v>
      </c>
      <c r="B42" s="154" t="s">
        <v>870</v>
      </c>
      <c r="C42" s="37" t="s">
        <v>1024</v>
      </c>
      <c r="D42" s="126" t="s">
        <v>873</v>
      </c>
      <c r="E42" s="37" t="s">
        <v>1025</v>
      </c>
      <c r="F42" s="126" t="s">
        <v>283</v>
      </c>
      <c r="G42" s="154" t="s">
        <v>85</v>
      </c>
      <c r="H42" s="21" t="s">
        <v>438</v>
      </c>
      <c r="I42" s="21" t="s">
        <v>436</v>
      </c>
      <c r="J42" s="128">
        <v>46191.0</v>
      </c>
      <c r="K42" s="131"/>
      <c r="L42" s="127"/>
      <c r="M42" s="21"/>
      <c r="N42" s="127"/>
      <c r="O42" s="21"/>
      <c r="P42" s="21"/>
      <c r="Q42" s="21"/>
      <c r="R42" s="21"/>
      <c r="S42" s="21"/>
      <c r="T42" s="21"/>
      <c r="U42" s="50" t="s">
        <v>1105</v>
      </c>
      <c r="V42" s="156" t="s">
        <v>1037</v>
      </c>
      <c r="W42" s="2"/>
    </row>
    <row r="43" ht="30.0" customHeight="1">
      <c r="A43" s="154" t="s">
        <v>72</v>
      </c>
      <c r="B43" s="154" t="s">
        <v>870</v>
      </c>
      <c r="C43" s="37" t="s">
        <v>1024</v>
      </c>
      <c r="D43" s="126" t="s">
        <v>873</v>
      </c>
      <c r="E43" s="37" t="s">
        <v>1025</v>
      </c>
      <c r="F43" s="126" t="s">
        <v>283</v>
      </c>
      <c r="G43" s="154" t="s">
        <v>85</v>
      </c>
      <c r="H43" s="21" t="s">
        <v>249</v>
      </c>
      <c r="I43" s="21" t="s">
        <v>187</v>
      </c>
      <c r="J43" s="128">
        <v>46191.0</v>
      </c>
      <c r="K43" s="128"/>
      <c r="L43" s="127"/>
      <c r="M43" s="21"/>
      <c r="N43" s="127"/>
      <c r="O43" s="21"/>
      <c r="P43" s="21"/>
      <c r="Q43" s="21"/>
      <c r="R43" s="21"/>
      <c r="S43" s="21"/>
      <c r="T43" s="21"/>
      <c r="U43" s="50" t="s">
        <v>1105</v>
      </c>
      <c r="V43" s="156" t="s">
        <v>1037</v>
      </c>
      <c r="W43" s="2"/>
    </row>
    <row r="44" ht="30.0" customHeight="1">
      <c r="A44" s="154" t="s">
        <v>72</v>
      </c>
      <c r="B44" s="154" t="s">
        <v>870</v>
      </c>
      <c r="C44" s="37" t="s">
        <v>1024</v>
      </c>
      <c r="D44" s="126" t="s">
        <v>873</v>
      </c>
      <c r="E44" s="37" t="s">
        <v>1025</v>
      </c>
      <c r="F44" s="126" t="s">
        <v>283</v>
      </c>
      <c r="G44" s="154" t="s">
        <v>85</v>
      </c>
      <c r="H44" s="21" t="s">
        <v>470</v>
      </c>
      <c r="I44" s="21" t="s">
        <v>107</v>
      </c>
      <c r="J44" s="128">
        <v>46191.0</v>
      </c>
      <c r="K44" s="131"/>
      <c r="L44" s="131"/>
      <c r="M44" s="21"/>
      <c r="N44" s="21"/>
      <c r="O44" s="21"/>
      <c r="P44" s="21"/>
      <c r="Q44" s="21"/>
      <c r="R44" s="21"/>
      <c r="S44" s="21"/>
      <c r="T44" s="21"/>
      <c r="U44" s="50" t="s">
        <v>1105</v>
      </c>
      <c r="V44" s="156" t="s">
        <v>1037</v>
      </c>
      <c r="W44" s="2"/>
    </row>
    <row r="45" ht="30.0" customHeight="1">
      <c r="A45" s="154" t="s">
        <v>72</v>
      </c>
      <c r="B45" s="154" t="s">
        <v>870</v>
      </c>
      <c r="C45" s="37" t="s">
        <v>1024</v>
      </c>
      <c r="D45" s="126" t="s">
        <v>873</v>
      </c>
      <c r="E45" s="37" t="s">
        <v>1025</v>
      </c>
      <c r="F45" s="126" t="s">
        <v>283</v>
      </c>
      <c r="G45" s="154" t="s">
        <v>85</v>
      </c>
      <c r="H45" s="21" t="s">
        <v>423</v>
      </c>
      <c r="I45" s="21" t="s">
        <v>422</v>
      </c>
      <c r="J45" s="128">
        <v>46191.0</v>
      </c>
      <c r="K45" s="128"/>
      <c r="L45" s="127"/>
      <c r="M45" s="21"/>
      <c r="N45" s="127"/>
      <c r="O45" s="21"/>
      <c r="P45" s="21"/>
      <c r="Q45" s="21"/>
      <c r="R45" s="21"/>
      <c r="S45" s="21"/>
      <c r="T45" s="21"/>
      <c r="U45" s="50" t="s">
        <v>1105</v>
      </c>
      <c r="V45" s="156" t="s">
        <v>1037</v>
      </c>
      <c r="W45" s="2"/>
    </row>
    <row r="46" ht="30.0" customHeight="1">
      <c r="A46" s="154" t="s">
        <v>72</v>
      </c>
      <c r="B46" s="154" t="s">
        <v>870</v>
      </c>
      <c r="C46" s="37" t="s">
        <v>1024</v>
      </c>
      <c r="D46" s="126" t="s">
        <v>873</v>
      </c>
      <c r="E46" s="37" t="s">
        <v>1025</v>
      </c>
      <c r="F46" s="126" t="s">
        <v>283</v>
      </c>
      <c r="G46" s="154" t="s">
        <v>85</v>
      </c>
      <c r="H46" s="21" t="s">
        <v>494</v>
      </c>
      <c r="I46" s="21" t="s">
        <v>492</v>
      </c>
      <c r="J46" s="128">
        <v>46191.0</v>
      </c>
      <c r="K46" s="128"/>
      <c r="L46" s="127"/>
      <c r="M46" s="21"/>
      <c r="N46" s="127"/>
      <c r="O46" s="21"/>
      <c r="P46" s="21"/>
      <c r="Q46" s="21"/>
      <c r="R46" s="21"/>
      <c r="S46" s="21"/>
      <c r="T46" s="21"/>
      <c r="U46" s="50" t="s">
        <v>1105</v>
      </c>
      <c r="V46" s="156" t="s">
        <v>1037</v>
      </c>
      <c r="W46" s="2"/>
    </row>
    <row r="47" ht="30.0" customHeight="1">
      <c r="A47" s="154" t="s">
        <v>72</v>
      </c>
      <c r="B47" s="154" t="s">
        <v>870</v>
      </c>
      <c r="C47" s="37" t="s">
        <v>1024</v>
      </c>
      <c r="D47" s="126" t="s">
        <v>873</v>
      </c>
      <c r="E47" s="37" t="s">
        <v>1025</v>
      </c>
      <c r="F47" s="126" t="s">
        <v>283</v>
      </c>
      <c r="G47" s="154" t="s">
        <v>85</v>
      </c>
      <c r="H47" s="21" t="s">
        <v>338</v>
      </c>
      <c r="I47" s="21" t="s">
        <v>336</v>
      </c>
      <c r="J47" s="128">
        <v>46191.0</v>
      </c>
      <c r="K47" s="128"/>
      <c r="L47" s="128"/>
      <c r="M47" s="21"/>
      <c r="N47" s="21"/>
      <c r="O47" s="21"/>
      <c r="P47" s="21"/>
      <c r="Q47" s="21"/>
      <c r="R47" s="21"/>
      <c r="S47" s="21"/>
      <c r="T47" s="127"/>
      <c r="U47" s="50" t="s">
        <v>1105</v>
      </c>
      <c r="V47" s="156" t="s">
        <v>1037</v>
      </c>
      <c r="W47" s="2"/>
    </row>
    <row r="48" ht="30.0" customHeight="1">
      <c r="A48" s="154" t="s">
        <v>72</v>
      </c>
      <c r="B48" s="154" t="s">
        <v>870</v>
      </c>
      <c r="C48" s="37" t="s">
        <v>1024</v>
      </c>
      <c r="D48" s="126" t="s">
        <v>873</v>
      </c>
      <c r="E48" s="37" t="s">
        <v>1025</v>
      </c>
      <c r="F48" s="126" t="s">
        <v>283</v>
      </c>
      <c r="G48" s="154" t="s">
        <v>85</v>
      </c>
      <c r="H48" s="21" t="s">
        <v>321</v>
      </c>
      <c r="I48" s="21" t="s">
        <v>201</v>
      </c>
      <c r="J48" s="128">
        <v>46191.0</v>
      </c>
      <c r="K48" s="128"/>
      <c r="L48" s="127"/>
      <c r="M48" s="21"/>
      <c r="N48" s="127"/>
      <c r="O48" s="21"/>
      <c r="P48" s="21"/>
      <c r="Q48" s="21"/>
      <c r="R48" s="21"/>
      <c r="S48" s="21"/>
      <c r="T48" s="127"/>
      <c r="U48" s="50" t="s">
        <v>1105</v>
      </c>
      <c r="V48" s="156" t="s">
        <v>1037</v>
      </c>
      <c r="W48" s="2"/>
    </row>
    <row r="49" ht="30.0" customHeight="1">
      <c r="A49" s="154" t="s">
        <v>72</v>
      </c>
      <c r="B49" s="154" t="s">
        <v>870</v>
      </c>
      <c r="C49" s="37" t="s">
        <v>1024</v>
      </c>
      <c r="D49" s="126" t="s">
        <v>873</v>
      </c>
      <c r="E49" s="37" t="s">
        <v>1025</v>
      </c>
      <c r="F49" s="126" t="s">
        <v>283</v>
      </c>
      <c r="G49" s="154" t="s">
        <v>85</v>
      </c>
      <c r="H49" s="21" t="s">
        <v>454</v>
      </c>
      <c r="I49" s="21" t="s">
        <v>451</v>
      </c>
      <c r="J49" s="128">
        <v>46191.0</v>
      </c>
      <c r="K49" s="128"/>
      <c r="L49" s="128"/>
      <c r="M49" s="21"/>
      <c r="N49" s="21"/>
      <c r="O49" s="21"/>
      <c r="P49" s="21"/>
      <c r="Q49" s="21"/>
      <c r="R49" s="21"/>
      <c r="S49" s="21"/>
      <c r="T49" s="21"/>
      <c r="U49" s="50" t="s">
        <v>1105</v>
      </c>
      <c r="V49" s="156" t="s">
        <v>1037</v>
      </c>
      <c r="W49" s="2"/>
    </row>
    <row r="50" ht="30.0" customHeight="1">
      <c r="A50" s="154" t="s">
        <v>72</v>
      </c>
      <c r="B50" s="154" t="s">
        <v>870</v>
      </c>
      <c r="C50" s="37" t="s">
        <v>1024</v>
      </c>
      <c r="D50" s="126" t="s">
        <v>873</v>
      </c>
      <c r="E50" s="37" t="s">
        <v>1025</v>
      </c>
      <c r="F50" s="126" t="s">
        <v>283</v>
      </c>
      <c r="G50" s="154" t="s">
        <v>575</v>
      </c>
      <c r="H50" s="21" t="s">
        <v>573</v>
      </c>
      <c r="I50" s="21" t="s">
        <v>37</v>
      </c>
      <c r="J50" s="128">
        <v>46191.0</v>
      </c>
      <c r="K50" s="128">
        <v>46209.0</v>
      </c>
      <c r="L50" s="127"/>
      <c r="M50" s="21" t="s">
        <v>1287</v>
      </c>
      <c r="N50" s="127"/>
      <c r="O50" s="21"/>
      <c r="P50" s="21" t="s">
        <v>1288</v>
      </c>
      <c r="Q50" s="21"/>
      <c r="R50" s="21"/>
      <c r="S50" s="21"/>
      <c r="T50" s="156" t="s">
        <v>1289</v>
      </c>
      <c r="U50" s="50" t="s">
        <v>686</v>
      </c>
      <c r="V50" s="156" t="s">
        <v>1037</v>
      </c>
      <c r="W50" s="2"/>
    </row>
    <row r="51" ht="30.0" customHeight="1">
      <c r="A51" s="154" t="s">
        <v>72</v>
      </c>
      <c r="B51" s="154" t="s">
        <v>870</v>
      </c>
      <c r="C51" s="37" t="s">
        <v>1024</v>
      </c>
      <c r="D51" s="126" t="s">
        <v>873</v>
      </c>
      <c r="E51" s="37" t="s">
        <v>1025</v>
      </c>
      <c r="F51" s="126" t="s">
        <v>283</v>
      </c>
      <c r="G51" s="154" t="s">
        <v>575</v>
      </c>
      <c r="H51" s="21" t="s">
        <v>581</v>
      </c>
      <c r="I51" s="21" t="s">
        <v>70</v>
      </c>
      <c r="J51" s="128">
        <v>46191.0</v>
      </c>
      <c r="K51" s="128">
        <v>46209.0</v>
      </c>
      <c r="L51" s="127"/>
      <c r="M51" s="21" t="s">
        <v>1293</v>
      </c>
      <c r="N51" s="127"/>
      <c r="O51" s="21"/>
      <c r="P51" s="21" t="s">
        <v>1294</v>
      </c>
      <c r="Q51" s="21"/>
      <c r="R51" s="21"/>
      <c r="S51" s="21"/>
      <c r="T51" s="127"/>
      <c r="U51" s="50" t="s">
        <v>1105</v>
      </c>
      <c r="V51" s="156" t="s">
        <v>1037</v>
      </c>
      <c r="W51" s="2"/>
    </row>
    <row r="52" ht="30.0" customHeight="1">
      <c r="A52" s="154" t="s">
        <v>72</v>
      </c>
      <c r="B52" s="154" t="s">
        <v>870</v>
      </c>
      <c r="C52" s="37" t="s">
        <v>1024</v>
      </c>
      <c r="D52" s="126" t="s">
        <v>873</v>
      </c>
      <c r="E52" s="37" t="s">
        <v>1025</v>
      </c>
      <c r="F52" s="126" t="s">
        <v>283</v>
      </c>
      <c r="G52" s="154" t="s">
        <v>575</v>
      </c>
      <c r="H52" s="21" t="s">
        <v>585</v>
      </c>
      <c r="I52" s="148" t="s">
        <v>168</v>
      </c>
      <c r="J52" s="128">
        <v>46191.0</v>
      </c>
      <c r="K52" s="128"/>
      <c r="L52" s="127"/>
      <c r="M52" s="21"/>
      <c r="N52" s="21"/>
      <c r="O52" s="21"/>
      <c r="P52" s="21"/>
      <c r="Q52" s="21"/>
      <c r="R52" s="21"/>
      <c r="S52" s="21"/>
      <c r="T52" s="21"/>
      <c r="U52" s="50" t="s">
        <v>1105</v>
      </c>
      <c r="V52" s="156" t="s">
        <v>1037</v>
      </c>
      <c r="W52" s="2"/>
    </row>
    <row r="53" ht="30.0" customHeight="1">
      <c r="A53" s="154" t="s">
        <v>72</v>
      </c>
      <c r="B53" s="154" t="s">
        <v>870</v>
      </c>
      <c r="C53" s="37" t="s">
        <v>1024</v>
      </c>
      <c r="D53" s="126" t="s">
        <v>873</v>
      </c>
      <c r="E53" s="37" t="s">
        <v>1025</v>
      </c>
      <c r="F53" s="126" t="s">
        <v>283</v>
      </c>
      <c r="G53" s="154" t="s">
        <v>575</v>
      </c>
      <c r="H53" s="21" t="s">
        <v>594</v>
      </c>
      <c r="I53" s="21" t="s">
        <v>131</v>
      </c>
      <c r="J53" s="128">
        <v>46191.0</v>
      </c>
      <c r="K53" s="128"/>
      <c r="L53" s="128"/>
      <c r="M53" s="21"/>
      <c r="N53" s="21"/>
      <c r="O53" s="21"/>
      <c r="P53" s="21"/>
      <c r="Q53" s="21"/>
      <c r="R53" s="21"/>
      <c r="S53" s="21"/>
      <c r="T53" s="127"/>
      <c r="U53" s="50" t="s">
        <v>1105</v>
      </c>
      <c r="V53" s="156" t="s">
        <v>1037</v>
      </c>
      <c r="W53" s="2"/>
    </row>
    <row r="54" ht="30.0" customHeight="1">
      <c r="A54" s="154" t="s">
        <v>72</v>
      </c>
      <c r="B54" s="154" t="s">
        <v>870</v>
      </c>
      <c r="C54" s="37" t="s">
        <v>1024</v>
      </c>
      <c r="D54" s="126" t="s">
        <v>873</v>
      </c>
      <c r="E54" s="37" t="s">
        <v>1025</v>
      </c>
      <c r="F54" s="126" t="s">
        <v>283</v>
      </c>
      <c r="G54" s="154" t="s">
        <v>575</v>
      </c>
      <c r="H54" s="21" t="s">
        <v>590</v>
      </c>
      <c r="I54" s="21" t="s">
        <v>98</v>
      </c>
      <c r="J54" s="128">
        <v>46191.0</v>
      </c>
      <c r="K54" s="128"/>
      <c r="L54" s="127"/>
      <c r="M54" s="21"/>
      <c r="N54" s="127"/>
      <c r="O54" s="21"/>
      <c r="P54" s="21"/>
      <c r="Q54" s="21"/>
      <c r="R54" s="21"/>
      <c r="S54" s="21"/>
      <c r="T54" s="127"/>
      <c r="U54" s="50" t="s">
        <v>1105</v>
      </c>
      <c r="V54" s="156" t="s">
        <v>1037</v>
      </c>
      <c r="W54" s="2"/>
    </row>
    <row r="55" ht="30.0" customHeight="1">
      <c r="A55" s="154" t="s">
        <v>72</v>
      </c>
      <c r="B55" s="154" t="s">
        <v>870</v>
      </c>
      <c r="C55" s="37" t="s">
        <v>1024</v>
      </c>
      <c r="D55" s="126" t="s">
        <v>873</v>
      </c>
      <c r="E55" s="37" t="s">
        <v>1025</v>
      </c>
      <c r="F55" s="126" t="s">
        <v>283</v>
      </c>
      <c r="G55" s="154" t="s">
        <v>599</v>
      </c>
      <c r="H55" s="21" t="s">
        <v>598</v>
      </c>
      <c r="I55" s="21" t="s">
        <v>70</v>
      </c>
      <c r="J55" s="128">
        <v>46191.0</v>
      </c>
      <c r="K55" s="128"/>
      <c r="L55" s="127"/>
      <c r="M55" s="21"/>
      <c r="N55" s="127"/>
      <c r="O55" s="21"/>
      <c r="P55" s="21"/>
      <c r="Q55" s="21"/>
      <c r="R55" s="21"/>
      <c r="S55" s="21"/>
      <c r="T55" s="127"/>
      <c r="U55" s="50" t="s">
        <v>1105</v>
      </c>
      <c r="V55" s="156" t="s">
        <v>1037</v>
      </c>
      <c r="W55" s="2"/>
    </row>
    <row r="56" ht="30.0" customHeight="1">
      <c r="A56" s="154" t="s">
        <v>72</v>
      </c>
      <c r="B56" s="154" t="s">
        <v>870</v>
      </c>
      <c r="C56" s="37" t="s">
        <v>1024</v>
      </c>
      <c r="D56" s="126" t="s">
        <v>873</v>
      </c>
      <c r="E56" s="37" t="s">
        <v>1025</v>
      </c>
      <c r="F56" s="126" t="s">
        <v>283</v>
      </c>
      <c r="G56" s="154" t="s">
        <v>599</v>
      </c>
      <c r="H56" s="21" t="s">
        <v>602</v>
      </c>
      <c r="I56" s="21" t="s">
        <v>326</v>
      </c>
      <c r="J56" s="128">
        <v>46191.0</v>
      </c>
      <c r="K56" s="128"/>
      <c r="L56" s="128"/>
      <c r="M56" s="21"/>
      <c r="N56" s="21"/>
      <c r="O56" s="21"/>
      <c r="P56" s="21"/>
      <c r="Q56" s="21"/>
      <c r="R56" s="21"/>
      <c r="S56" s="21"/>
      <c r="T56" s="21"/>
      <c r="U56" s="50" t="s">
        <v>1105</v>
      </c>
      <c r="V56" s="156" t="s">
        <v>1037</v>
      </c>
      <c r="W56" s="2"/>
    </row>
    <row r="57" ht="30.0" customHeight="1">
      <c r="A57" s="154" t="s">
        <v>72</v>
      </c>
      <c r="B57" s="154" t="s">
        <v>870</v>
      </c>
      <c r="C57" s="37" t="s">
        <v>1024</v>
      </c>
      <c r="D57" s="126" t="s">
        <v>873</v>
      </c>
      <c r="E57" s="37" t="s">
        <v>1025</v>
      </c>
      <c r="F57" s="126" t="s">
        <v>283</v>
      </c>
      <c r="G57" s="154" t="s">
        <v>599</v>
      </c>
      <c r="H57" s="21" t="s">
        <v>605</v>
      </c>
      <c r="I57" s="21" t="s">
        <v>488</v>
      </c>
      <c r="J57" s="128">
        <v>46191.0</v>
      </c>
      <c r="K57" s="128"/>
      <c r="L57" s="131"/>
      <c r="M57" s="21"/>
      <c r="N57" s="21"/>
      <c r="O57" s="21"/>
      <c r="P57" s="21"/>
      <c r="Q57" s="21"/>
      <c r="R57" s="21"/>
      <c r="S57" s="21"/>
      <c r="T57" s="127"/>
      <c r="U57" s="50" t="s">
        <v>1105</v>
      </c>
      <c r="V57" s="156" t="s">
        <v>1037</v>
      </c>
      <c r="W57" s="2"/>
    </row>
    <row r="58" ht="30.0" customHeight="1">
      <c r="A58" s="154" t="s">
        <v>72</v>
      </c>
      <c r="B58" s="154" t="s">
        <v>870</v>
      </c>
      <c r="C58" s="37" t="s">
        <v>1024</v>
      </c>
      <c r="D58" s="126" t="s">
        <v>873</v>
      </c>
      <c r="E58" s="37" t="s">
        <v>1025</v>
      </c>
      <c r="F58" s="126" t="s">
        <v>283</v>
      </c>
      <c r="G58" s="154" t="s">
        <v>599</v>
      </c>
      <c r="H58" s="21" t="s">
        <v>609</v>
      </c>
      <c r="I58" s="21" t="s">
        <v>140</v>
      </c>
      <c r="J58" s="128">
        <v>46191.0</v>
      </c>
      <c r="K58" s="128"/>
      <c r="L58" s="128"/>
      <c r="M58" s="21"/>
      <c r="N58" s="21"/>
      <c r="O58" s="21"/>
      <c r="P58" s="21"/>
      <c r="Q58" s="21"/>
      <c r="R58" s="21"/>
      <c r="S58" s="21"/>
      <c r="T58" s="21"/>
      <c r="U58" s="50" t="s">
        <v>1105</v>
      </c>
      <c r="V58" s="156" t="s">
        <v>1037</v>
      </c>
      <c r="W58" s="2"/>
    </row>
    <row r="59" ht="30.0" customHeight="1">
      <c r="A59" s="154" t="s">
        <v>72</v>
      </c>
      <c r="B59" s="154" t="s">
        <v>870</v>
      </c>
      <c r="C59" s="37" t="s">
        <v>1318</v>
      </c>
      <c r="D59" s="126" t="s">
        <v>873</v>
      </c>
      <c r="E59" s="37" t="s">
        <v>1320</v>
      </c>
      <c r="F59" s="126" t="s">
        <v>445</v>
      </c>
      <c r="G59" s="154" t="s">
        <v>575</v>
      </c>
      <c r="H59" s="21" t="s">
        <v>1321</v>
      </c>
      <c r="I59" s="21" t="s">
        <v>70</v>
      </c>
      <c r="J59" s="128">
        <v>46196.0</v>
      </c>
      <c r="K59" s="128">
        <v>46199.0</v>
      </c>
      <c r="L59" s="127"/>
      <c r="M59" s="21" t="s">
        <v>1322</v>
      </c>
      <c r="N59" s="127"/>
      <c r="O59" s="21"/>
      <c r="P59" s="21" t="s">
        <v>1324</v>
      </c>
      <c r="Q59" s="21"/>
      <c r="R59" s="21"/>
      <c r="S59" s="156" t="s">
        <v>1326</v>
      </c>
      <c r="T59" s="156" t="s">
        <v>1327</v>
      </c>
      <c r="U59" s="50" t="s">
        <v>303</v>
      </c>
      <c r="V59" s="127"/>
      <c r="W59" s="2"/>
    </row>
    <row r="60" ht="30.0" customHeight="1">
      <c r="A60" s="154" t="s">
        <v>72</v>
      </c>
      <c r="B60" s="154" t="s">
        <v>870</v>
      </c>
      <c r="C60" s="37" t="s">
        <v>1330</v>
      </c>
      <c r="D60" s="126" t="s">
        <v>873</v>
      </c>
      <c r="E60" s="37" t="s">
        <v>1332</v>
      </c>
      <c r="F60" s="126" t="s">
        <v>445</v>
      </c>
      <c r="G60" s="154" t="s">
        <v>85</v>
      </c>
      <c r="H60" s="21" t="s">
        <v>532</v>
      </c>
      <c r="I60" s="21" t="s">
        <v>531</v>
      </c>
      <c r="J60" s="128">
        <v>46199.0</v>
      </c>
      <c r="K60" s="131">
        <v>46203.0</v>
      </c>
      <c r="L60" s="127"/>
      <c r="M60" s="21" t="s">
        <v>1335</v>
      </c>
      <c r="N60" s="127"/>
      <c r="O60" s="21"/>
      <c r="P60" s="21" t="s">
        <v>1336</v>
      </c>
      <c r="Q60" s="21"/>
      <c r="R60" s="21"/>
      <c r="S60" s="156" t="s">
        <v>1337</v>
      </c>
      <c r="T60" s="156" t="s">
        <v>1339</v>
      </c>
      <c r="U60" s="50" t="s">
        <v>686</v>
      </c>
      <c r="V60" s="127"/>
      <c r="W60" s="2"/>
    </row>
    <row r="61" ht="30.0" customHeight="1">
      <c r="A61" s="154" t="s">
        <v>72</v>
      </c>
      <c r="B61" s="154" t="s">
        <v>870</v>
      </c>
      <c r="C61" s="37" t="s">
        <v>1342</v>
      </c>
      <c r="D61" s="126" t="s">
        <v>873</v>
      </c>
      <c r="E61" s="37" t="s">
        <v>1343</v>
      </c>
      <c r="F61" s="126" t="s">
        <v>445</v>
      </c>
      <c r="G61" s="154" t="s">
        <v>575</v>
      </c>
      <c r="H61" s="21" t="s">
        <v>594</v>
      </c>
      <c r="I61" s="21" t="s">
        <v>131</v>
      </c>
      <c r="J61" s="128">
        <v>46210.0</v>
      </c>
      <c r="K61" s="128">
        <v>46211.0</v>
      </c>
      <c r="L61" s="127"/>
      <c r="M61" s="21" t="s">
        <v>1345</v>
      </c>
      <c r="N61" s="127"/>
      <c r="O61" s="21"/>
      <c r="P61" s="160" t="s">
        <v>1346</v>
      </c>
      <c r="Q61" s="21"/>
      <c r="R61" s="21"/>
      <c r="S61" s="156" t="s">
        <v>1347</v>
      </c>
      <c r="T61" s="156" t="s">
        <v>1350</v>
      </c>
      <c r="U61" s="50" t="s">
        <v>303</v>
      </c>
      <c r="V61" s="127"/>
      <c r="W61" s="2"/>
    </row>
    <row r="62" ht="30.0" customHeight="1">
      <c r="A62" s="154" t="s">
        <v>72</v>
      </c>
      <c r="B62" s="154" t="s">
        <v>870</v>
      </c>
      <c r="C62" s="37" t="s">
        <v>1355</v>
      </c>
      <c r="D62" s="126" t="s">
        <v>873</v>
      </c>
      <c r="E62" s="37" t="s">
        <v>1356</v>
      </c>
      <c r="F62" s="126" t="s">
        <v>445</v>
      </c>
      <c r="G62" s="154" t="s">
        <v>85</v>
      </c>
      <c r="H62" s="21" t="s">
        <v>1357</v>
      </c>
      <c r="I62" s="21" t="s">
        <v>1358</v>
      </c>
      <c r="J62" s="128">
        <v>46211.0</v>
      </c>
      <c r="K62" s="128">
        <v>46217.0</v>
      </c>
      <c r="L62" s="131"/>
      <c r="M62" s="21" t="s">
        <v>1359</v>
      </c>
      <c r="N62" s="21"/>
      <c r="O62" s="21"/>
      <c r="P62" s="167" t="s">
        <v>1360</v>
      </c>
      <c r="Q62" s="21"/>
      <c r="R62" s="21"/>
      <c r="S62" s="156" t="s">
        <v>1363</v>
      </c>
      <c r="T62" s="156" t="s">
        <v>1364</v>
      </c>
      <c r="U62" s="50" t="s">
        <v>303</v>
      </c>
      <c r="V62" s="127"/>
      <c r="W62" s="2"/>
    </row>
    <row r="63" ht="30.0" customHeight="1">
      <c r="A63" s="154" t="s">
        <v>72</v>
      </c>
      <c r="B63" s="154" t="s">
        <v>870</v>
      </c>
      <c r="C63" s="37" t="s">
        <v>1368</v>
      </c>
      <c r="D63" s="126" t="s">
        <v>873</v>
      </c>
      <c r="E63" s="37" t="s">
        <v>1369</v>
      </c>
      <c r="F63" s="126" t="s">
        <v>445</v>
      </c>
      <c r="G63" s="154" t="s">
        <v>85</v>
      </c>
      <c r="H63" s="21" t="s">
        <v>1370</v>
      </c>
      <c r="I63" s="21" t="s">
        <v>187</v>
      </c>
      <c r="J63" s="128">
        <v>46219.0</v>
      </c>
      <c r="K63" s="128">
        <v>46226.0</v>
      </c>
      <c r="L63" s="127"/>
      <c r="M63" s="21" t="s">
        <v>1371</v>
      </c>
      <c r="N63" s="127"/>
      <c r="O63" s="21"/>
      <c r="P63" s="21" t="s">
        <v>1372</v>
      </c>
      <c r="Q63" s="21"/>
      <c r="R63" s="21"/>
      <c r="S63" s="156" t="s">
        <v>1374</v>
      </c>
      <c r="T63" s="156" t="s">
        <v>1376</v>
      </c>
      <c r="U63" s="50" t="s">
        <v>303</v>
      </c>
      <c r="V63" s="127"/>
      <c r="W63" s="2"/>
    </row>
    <row r="64" ht="30.0" customHeight="1">
      <c r="A64" s="179"/>
      <c r="B64" s="179"/>
      <c r="C64" s="42"/>
      <c r="D64" s="126"/>
      <c r="E64" s="37"/>
      <c r="F64" s="126"/>
      <c r="G64" s="179"/>
      <c r="H64" s="21"/>
      <c r="I64" s="148"/>
      <c r="J64" s="128"/>
      <c r="K64" s="128"/>
      <c r="L64" s="127"/>
      <c r="M64" s="21"/>
      <c r="N64" s="127"/>
      <c r="O64" s="21"/>
      <c r="P64" s="21"/>
      <c r="Q64" s="21"/>
      <c r="R64" s="21"/>
      <c r="S64" s="21"/>
      <c r="T64" s="21"/>
      <c r="U64" s="50"/>
      <c r="V64" s="127"/>
      <c r="W64" s="2"/>
    </row>
    <row r="65" ht="30.0" customHeight="1">
      <c r="A65" s="179"/>
      <c r="B65" s="179"/>
      <c r="C65" s="42"/>
      <c r="D65" s="126"/>
      <c r="E65" s="37"/>
      <c r="F65" s="126"/>
      <c r="G65" s="179"/>
      <c r="H65" s="21"/>
      <c r="I65" s="21"/>
      <c r="J65" s="131"/>
      <c r="K65" s="131"/>
      <c r="L65" s="127"/>
      <c r="M65" s="21"/>
      <c r="N65" s="127"/>
      <c r="O65" s="21"/>
      <c r="P65" s="21"/>
      <c r="Q65" s="21"/>
      <c r="R65" s="21"/>
      <c r="S65" s="21"/>
      <c r="T65" s="127"/>
      <c r="U65" s="50"/>
      <c r="V65" s="127"/>
      <c r="W65" s="2"/>
    </row>
    <row r="66" ht="30.0" customHeight="1">
      <c r="A66" s="179"/>
      <c r="B66" s="179"/>
      <c r="C66" s="42"/>
      <c r="D66" s="126"/>
      <c r="E66" s="37"/>
      <c r="F66" s="126"/>
      <c r="G66" s="179"/>
      <c r="H66" s="21"/>
      <c r="I66" s="21"/>
      <c r="J66" s="131"/>
      <c r="K66" s="131"/>
      <c r="L66" s="127"/>
      <c r="M66" s="21"/>
      <c r="N66" s="127"/>
      <c r="O66" s="21"/>
      <c r="P66" s="21"/>
      <c r="Q66" s="21"/>
      <c r="R66" s="21"/>
      <c r="S66" s="21"/>
      <c r="T66" s="127"/>
      <c r="U66" s="50"/>
      <c r="V66" s="127"/>
      <c r="W66" s="2"/>
    </row>
    <row r="67" ht="30.0" customHeight="1">
      <c r="A67" s="179"/>
      <c r="B67" s="179"/>
      <c r="C67" s="42"/>
      <c r="D67" s="126"/>
      <c r="E67" s="37"/>
      <c r="F67" s="126"/>
      <c r="G67" s="179"/>
      <c r="H67" s="21"/>
      <c r="I67" s="21"/>
      <c r="J67" s="131"/>
      <c r="K67" s="131"/>
      <c r="L67" s="127"/>
      <c r="M67" s="21"/>
      <c r="N67" s="127"/>
      <c r="O67" s="21"/>
      <c r="P67" s="21"/>
      <c r="Q67" s="21"/>
      <c r="R67" s="21"/>
      <c r="S67" s="21"/>
      <c r="T67" s="127"/>
      <c r="U67" s="50"/>
      <c r="V67" s="127"/>
      <c r="W67" s="2"/>
    </row>
    <row r="68" ht="30.0" customHeight="1">
      <c r="A68" s="179"/>
      <c r="B68" s="179"/>
      <c r="C68" s="42"/>
      <c r="D68" s="126"/>
      <c r="E68" s="37"/>
      <c r="F68" s="126"/>
      <c r="G68" s="179"/>
      <c r="H68" s="21"/>
      <c r="I68" s="21"/>
      <c r="J68" s="131"/>
      <c r="K68" s="128"/>
      <c r="L68" s="127"/>
      <c r="M68" s="21"/>
      <c r="N68" s="127"/>
      <c r="O68" s="21"/>
      <c r="P68" s="21"/>
      <c r="Q68" s="21"/>
      <c r="R68" s="21"/>
      <c r="S68" s="21"/>
      <c r="T68" s="127"/>
      <c r="U68" s="50"/>
      <c r="V68" s="127"/>
      <c r="W68" s="2"/>
    </row>
    <row r="69" ht="30.0" customHeight="1">
      <c r="A69" s="179"/>
      <c r="B69" s="179"/>
      <c r="C69" s="42"/>
      <c r="D69" s="126"/>
      <c r="E69" s="37"/>
      <c r="F69" s="126"/>
      <c r="G69" s="179"/>
      <c r="H69" s="21"/>
      <c r="I69" s="21"/>
      <c r="J69" s="131"/>
      <c r="K69" s="128"/>
      <c r="L69" s="127"/>
      <c r="M69" s="21"/>
      <c r="N69" s="127"/>
      <c r="O69" s="21"/>
      <c r="P69" s="21"/>
      <c r="Q69" s="21"/>
      <c r="R69" s="21"/>
      <c r="S69" s="21"/>
      <c r="T69" s="127"/>
      <c r="U69" s="50"/>
      <c r="V69" s="127"/>
      <c r="W69" s="2"/>
    </row>
    <row r="70" ht="30.0" customHeight="1">
      <c r="A70" s="179"/>
      <c r="B70" s="179"/>
      <c r="C70" s="42"/>
      <c r="D70" s="126"/>
      <c r="E70" s="37"/>
      <c r="F70" s="126"/>
      <c r="G70" s="179"/>
      <c r="H70" s="21"/>
      <c r="I70" s="21"/>
      <c r="J70" s="127"/>
      <c r="K70" s="128"/>
      <c r="L70" s="127"/>
      <c r="M70" s="21"/>
      <c r="N70" s="127"/>
      <c r="O70" s="21"/>
      <c r="P70" s="21"/>
      <c r="Q70" s="127"/>
      <c r="R70" s="127"/>
      <c r="S70" s="127"/>
      <c r="T70" s="127"/>
      <c r="U70" s="50"/>
      <c r="V70" s="127"/>
      <c r="W70" s="2"/>
    </row>
    <row r="71" ht="30.0" customHeight="1">
      <c r="A71" s="179"/>
      <c r="B71" s="179"/>
      <c r="C71" s="42"/>
      <c r="D71" s="126"/>
      <c r="E71" s="37"/>
      <c r="F71" s="126"/>
      <c r="G71" s="179"/>
      <c r="H71" s="21"/>
      <c r="I71" s="21"/>
      <c r="J71" s="127"/>
      <c r="K71" s="128"/>
      <c r="L71" s="127"/>
      <c r="M71" s="21"/>
      <c r="N71" s="127"/>
      <c r="O71" s="21"/>
      <c r="P71" s="21"/>
      <c r="Q71" s="127"/>
      <c r="R71" s="127"/>
      <c r="S71" s="127"/>
      <c r="T71" s="127"/>
      <c r="U71" s="50"/>
      <c r="V71" s="127"/>
      <c r="W71" s="2"/>
    </row>
    <row r="72" ht="30.0" customHeight="1">
      <c r="A72" s="179"/>
      <c r="B72" s="179"/>
      <c r="C72" s="42"/>
      <c r="D72" s="126"/>
      <c r="E72" s="37"/>
      <c r="F72" s="126"/>
      <c r="G72" s="179"/>
      <c r="H72" s="21"/>
      <c r="I72" s="21"/>
      <c r="J72" s="127"/>
      <c r="K72" s="128"/>
      <c r="L72" s="127"/>
      <c r="M72" s="21"/>
      <c r="N72" s="127"/>
      <c r="O72" s="21"/>
      <c r="P72" s="21"/>
      <c r="Q72" s="127"/>
      <c r="R72" s="127"/>
      <c r="S72" s="127"/>
      <c r="T72" s="127"/>
      <c r="U72" s="50"/>
      <c r="V72" s="127"/>
      <c r="W72" s="2"/>
    </row>
    <row r="73" ht="30.0" customHeight="1">
      <c r="A73" s="179"/>
      <c r="B73" s="179"/>
      <c r="C73" s="42"/>
      <c r="D73" s="126"/>
      <c r="E73" s="37"/>
      <c r="F73" s="126"/>
      <c r="G73" s="179"/>
      <c r="H73" s="21"/>
      <c r="I73" s="21"/>
      <c r="J73" s="127"/>
      <c r="K73" s="128"/>
      <c r="L73" s="127"/>
      <c r="M73" s="21"/>
      <c r="N73" s="127"/>
      <c r="O73" s="21"/>
      <c r="P73" s="21"/>
      <c r="Q73" s="127"/>
      <c r="R73" s="127"/>
      <c r="S73" s="127"/>
      <c r="T73" s="127"/>
      <c r="U73" s="50"/>
      <c r="V73" s="127"/>
      <c r="W73" s="2"/>
    </row>
    <row r="74" ht="30.0" customHeight="1">
      <c r="A74" s="179"/>
      <c r="B74" s="179"/>
      <c r="C74" s="42"/>
      <c r="D74" s="126"/>
      <c r="E74" s="37"/>
      <c r="F74" s="126"/>
      <c r="G74" s="179"/>
      <c r="H74" s="21"/>
      <c r="I74" s="21"/>
      <c r="J74" s="127"/>
      <c r="K74" s="128"/>
      <c r="L74" s="127"/>
      <c r="M74" s="21"/>
      <c r="N74" s="127"/>
      <c r="O74" s="21"/>
      <c r="P74" s="21"/>
      <c r="Q74" s="127"/>
      <c r="R74" s="127"/>
      <c r="S74" s="127"/>
      <c r="T74" s="127"/>
      <c r="U74" s="50"/>
      <c r="V74" s="127"/>
      <c r="W74" s="2"/>
    </row>
    <row r="75" ht="30.0" customHeight="1">
      <c r="A75" s="179"/>
      <c r="B75" s="179"/>
      <c r="C75" s="42"/>
      <c r="D75" s="126"/>
      <c r="E75" s="37"/>
      <c r="F75" s="126"/>
      <c r="G75" s="179"/>
      <c r="H75" s="21"/>
      <c r="I75" s="21"/>
      <c r="J75" s="127"/>
      <c r="K75" s="128"/>
      <c r="L75" s="127"/>
      <c r="M75" s="21"/>
      <c r="N75" s="127"/>
      <c r="O75" s="21"/>
      <c r="P75" s="21"/>
      <c r="Q75" s="127"/>
      <c r="R75" s="127"/>
      <c r="S75" s="127"/>
      <c r="T75" s="127"/>
      <c r="U75" s="50"/>
      <c r="V75" s="127"/>
      <c r="W75" s="2"/>
    </row>
    <row r="76" ht="30.0" customHeight="1">
      <c r="A76" s="179"/>
      <c r="B76" s="179"/>
      <c r="C76" s="42"/>
      <c r="D76" s="126"/>
      <c r="E76" s="37"/>
      <c r="F76" s="126"/>
      <c r="G76" s="179"/>
      <c r="H76" s="21"/>
      <c r="I76" s="21"/>
      <c r="J76" s="127"/>
      <c r="K76" s="128"/>
      <c r="L76" s="127"/>
      <c r="M76" s="21"/>
      <c r="N76" s="127"/>
      <c r="O76" s="21"/>
      <c r="P76" s="21"/>
      <c r="Q76" s="127"/>
      <c r="R76" s="127"/>
      <c r="S76" s="127"/>
      <c r="T76" s="127"/>
      <c r="U76" s="50"/>
      <c r="V76" s="127"/>
      <c r="W76" s="2"/>
    </row>
    <row r="77" ht="30.0" customHeight="1">
      <c r="A77" s="179"/>
      <c r="B77" s="179"/>
      <c r="C77" s="42"/>
      <c r="D77" s="126"/>
      <c r="E77" s="37"/>
      <c r="F77" s="126"/>
      <c r="G77" s="179"/>
      <c r="H77" s="21"/>
      <c r="I77" s="21"/>
      <c r="J77" s="127"/>
      <c r="K77" s="128"/>
      <c r="L77" s="127"/>
      <c r="M77" s="21"/>
      <c r="N77" s="127"/>
      <c r="O77" s="21"/>
      <c r="P77" s="21"/>
      <c r="Q77" s="127"/>
      <c r="R77" s="127"/>
      <c r="S77" s="127"/>
      <c r="T77" s="127"/>
      <c r="U77" s="50"/>
      <c r="V77" s="127"/>
      <c r="W77" s="2"/>
    </row>
    <row r="78" ht="30.0" customHeight="1">
      <c r="A78" s="179"/>
      <c r="B78" s="179"/>
      <c r="C78" s="93"/>
      <c r="D78" s="126"/>
      <c r="E78" s="37"/>
      <c r="F78" s="126"/>
      <c r="G78" s="179"/>
      <c r="H78" s="21"/>
      <c r="I78" s="21"/>
      <c r="J78" s="128"/>
      <c r="K78" s="128"/>
      <c r="L78" s="127"/>
      <c r="M78" s="21"/>
      <c r="N78" s="127"/>
      <c r="O78" s="21"/>
      <c r="P78" s="21"/>
      <c r="Q78" s="21"/>
      <c r="R78" s="21"/>
      <c r="S78" s="21"/>
      <c r="T78" s="21"/>
      <c r="U78" s="50"/>
      <c r="V78" s="127"/>
      <c r="W78" s="2"/>
    </row>
    <row r="79" ht="30.0" customHeight="1">
      <c r="A79" s="179"/>
      <c r="B79" s="179"/>
      <c r="C79" s="93"/>
      <c r="D79" s="126"/>
      <c r="E79" s="37"/>
      <c r="F79" s="126"/>
      <c r="G79" s="179"/>
      <c r="H79" s="21"/>
      <c r="I79" s="21"/>
      <c r="J79" s="128"/>
      <c r="K79" s="128"/>
      <c r="L79" s="127"/>
      <c r="M79" s="21"/>
      <c r="N79" s="127"/>
      <c r="O79" s="21"/>
      <c r="P79" s="21"/>
      <c r="Q79" s="21"/>
      <c r="R79" s="21"/>
      <c r="S79" s="21"/>
      <c r="T79" s="21"/>
      <c r="U79" s="50"/>
      <c r="V79" s="127"/>
      <c r="W79" s="2"/>
    </row>
    <row r="80" ht="30.0" customHeight="1">
      <c r="A80" s="179"/>
      <c r="B80" s="179"/>
      <c r="C80" s="93"/>
      <c r="D80" s="126"/>
      <c r="E80" s="37"/>
      <c r="F80" s="126"/>
      <c r="G80" s="179"/>
      <c r="H80" s="21"/>
      <c r="I80" s="21"/>
      <c r="J80" s="128"/>
      <c r="K80" s="128"/>
      <c r="L80" s="127"/>
      <c r="M80" s="21"/>
      <c r="N80" s="127"/>
      <c r="O80" s="21"/>
      <c r="P80" s="21"/>
      <c r="Q80" s="21"/>
      <c r="R80" s="21"/>
      <c r="S80" s="21"/>
      <c r="T80" s="21"/>
      <c r="U80" s="50"/>
      <c r="V80" s="127"/>
      <c r="W80" s="2"/>
    </row>
    <row r="81" ht="30.0" customHeight="1">
      <c r="A81" s="179"/>
      <c r="B81" s="179"/>
      <c r="C81" s="93"/>
      <c r="D81" s="126"/>
      <c r="E81" s="37"/>
      <c r="F81" s="126"/>
      <c r="G81" s="179"/>
      <c r="H81" s="21"/>
      <c r="I81" s="21"/>
      <c r="J81" s="128"/>
      <c r="K81" s="128"/>
      <c r="L81" s="127"/>
      <c r="M81" s="21"/>
      <c r="N81" s="127"/>
      <c r="O81" s="21"/>
      <c r="P81" s="21"/>
      <c r="Q81" s="21"/>
      <c r="R81" s="21"/>
      <c r="S81" s="21"/>
      <c r="T81" s="21"/>
      <c r="U81" s="50"/>
      <c r="V81" s="127"/>
      <c r="W81" s="2"/>
    </row>
    <row r="82" ht="30.0" customHeight="1">
      <c r="A82" s="179"/>
      <c r="B82" s="179"/>
      <c r="C82" s="93"/>
      <c r="D82" s="126"/>
      <c r="E82" s="37"/>
      <c r="F82" s="126"/>
      <c r="G82" s="179"/>
      <c r="H82" s="21"/>
      <c r="I82" s="21"/>
      <c r="J82" s="128"/>
      <c r="K82" s="128"/>
      <c r="L82" s="127"/>
      <c r="M82" s="21"/>
      <c r="N82" s="127"/>
      <c r="O82" s="21"/>
      <c r="P82" s="21"/>
      <c r="Q82" s="21"/>
      <c r="R82" s="21"/>
      <c r="S82" s="21"/>
      <c r="T82" s="21"/>
      <c r="U82" s="50"/>
      <c r="V82" s="127"/>
      <c r="W82" s="2"/>
    </row>
    <row r="83" ht="30.0" customHeight="1">
      <c r="A83" s="179"/>
      <c r="B83" s="179"/>
      <c r="C83" s="93"/>
      <c r="D83" s="126"/>
      <c r="E83" s="37"/>
      <c r="F83" s="126"/>
      <c r="G83" s="179"/>
      <c r="H83" s="21"/>
      <c r="I83" s="148"/>
      <c r="J83" s="128"/>
      <c r="K83" s="128"/>
      <c r="L83" s="127"/>
      <c r="M83" s="21"/>
      <c r="N83" s="127"/>
      <c r="O83" s="21"/>
      <c r="P83" s="21"/>
      <c r="Q83" s="21"/>
      <c r="R83" s="21"/>
      <c r="S83" s="21"/>
      <c r="T83" s="21"/>
      <c r="U83" s="50"/>
      <c r="V83" s="127"/>
      <c r="W83" s="2"/>
    </row>
    <row r="84" ht="30.0" customHeight="1">
      <c r="A84" s="179"/>
      <c r="B84" s="179"/>
      <c r="C84" s="93"/>
      <c r="D84" s="126"/>
      <c r="E84" s="37"/>
      <c r="F84" s="126"/>
      <c r="G84" s="179"/>
      <c r="H84" s="21"/>
      <c r="I84" s="21"/>
      <c r="J84" s="128"/>
      <c r="K84" s="128"/>
      <c r="L84" s="127"/>
      <c r="M84" s="21"/>
      <c r="N84" s="127"/>
      <c r="O84" s="21"/>
      <c r="P84" s="21"/>
      <c r="Q84" s="21"/>
      <c r="R84" s="21"/>
      <c r="S84" s="21"/>
      <c r="T84" s="127"/>
      <c r="U84" s="50"/>
      <c r="V84" s="127"/>
      <c r="W84" s="2"/>
    </row>
    <row r="85" ht="30.0" customHeight="1">
      <c r="A85" s="179"/>
      <c r="B85" s="179"/>
      <c r="C85" s="93"/>
      <c r="D85" s="126"/>
      <c r="E85" s="37"/>
      <c r="F85" s="126"/>
      <c r="G85" s="179"/>
      <c r="H85" s="21"/>
      <c r="I85" s="21"/>
      <c r="J85" s="128"/>
      <c r="K85" s="128"/>
      <c r="L85" s="127"/>
      <c r="M85" s="21"/>
      <c r="N85" s="127"/>
      <c r="O85" s="21"/>
      <c r="P85" s="21"/>
      <c r="Q85" s="21"/>
      <c r="R85" s="21"/>
      <c r="S85" s="21"/>
      <c r="T85" s="127"/>
      <c r="U85" s="50"/>
      <c r="V85" s="127"/>
      <c r="W85" s="2"/>
    </row>
    <row r="86" ht="30.0" customHeight="1">
      <c r="A86" s="179"/>
      <c r="B86" s="179"/>
      <c r="C86" s="93"/>
      <c r="D86" s="126"/>
      <c r="E86" s="37"/>
      <c r="F86" s="126"/>
      <c r="G86" s="179"/>
      <c r="H86" s="21"/>
      <c r="I86" s="21"/>
      <c r="J86" s="128"/>
      <c r="K86" s="128"/>
      <c r="L86" s="127"/>
      <c r="M86" s="21"/>
      <c r="N86" s="127"/>
      <c r="O86" s="21"/>
      <c r="P86" s="21"/>
      <c r="Q86" s="21"/>
      <c r="R86" s="21"/>
      <c r="S86" s="21"/>
      <c r="T86" s="21"/>
      <c r="U86" s="50"/>
      <c r="V86" s="127"/>
      <c r="W86" s="2"/>
    </row>
    <row r="87" ht="30.0" customHeight="1">
      <c r="A87" s="179"/>
      <c r="B87" s="179"/>
      <c r="C87" s="93"/>
      <c r="D87" s="126"/>
      <c r="E87" s="37"/>
      <c r="F87" s="126"/>
      <c r="G87" s="179"/>
      <c r="H87" s="21"/>
      <c r="I87" s="21"/>
      <c r="J87" s="128"/>
      <c r="K87" s="128"/>
      <c r="L87" s="127"/>
      <c r="M87" s="21"/>
      <c r="N87" s="127"/>
      <c r="O87" s="21"/>
      <c r="P87" s="21"/>
      <c r="Q87" s="21"/>
      <c r="R87" s="21"/>
      <c r="S87" s="21"/>
      <c r="T87" s="21"/>
      <c r="U87" s="50"/>
      <c r="V87" s="127"/>
      <c r="W87" s="2"/>
    </row>
    <row r="88" ht="30.0" customHeight="1">
      <c r="A88" s="179"/>
      <c r="B88" s="179"/>
      <c r="C88" s="93"/>
      <c r="D88" s="126"/>
      <c r="E88" s="37"/>
      <c r="F88" s="126"/>
      <c r="G88" s="179"/>
      <c r="H88" s="21"/>
      <c r="I88" s="21"/>
      <c r="J88" s="128"/>
      <c r="K88" s="128"/>
      <c r="L88" s="127"/>
      <c r="M88" s="21"/>
      <c r="N88" s="127"/>
      <c r="O88" s="21"/>
      <c r="P88" s="21"/>
      <c r="Q88" s="21"/>
      <c r="R88" s="21"/>
      <c r="S88" s="21"/>
      <c r="T88" s="21"/>
      <c r="U88" s="50"/>
      <c r="V88" s="127"/>
      <c r="W88" s="2"/>
    </row>
    <row r="89" ht="30.0" customHeight="1">
      <c r="A89" s="179"/>
      <c r="B89" s="179"/>
      <c r="C89" s="93"/>
      <c r="D89" s="126"/>
      <c r="E89" s="37"/>
      <c r="F89" s="126"/>
      <c r="G89" s="179"/>
      <c r="H89" s="21"/>
      <c r="I89" s="21"/>
      <c r="J89" s="128"/>
      <c r="K89" s="128"/>
      <c r="L89" s="127"/>
      <c r="M89" s="21"/>
      <c r="N89" s="127"/>
      <c r="O89" s="21"/>
      <c r="P89" s="21"/>
      <c r="Q89" s="21"/>
      <c r="R89" s="21"/>
      <c r="S89" s="21"/>
      <c r="T89" s="127"/>
      <c r="U89" s="50"/>
      <c r="V89" s="127"/>
      <c r="W89" s="2"/>
    </row>
    <row r="90" ht="30.0" customHeight="1">
      <c r="A90" s="179"/>
      <c r="B90" s="179"/>
      <c r="C90" s="42"/>
      <c r="D90" s="126"/>
      <c r="E90" s="37"/>
      <c r="F90" s="126"/>
      <c r="G90" s="179"/>
      <c r="H90" s="21"/>
      <c r="I90" s="21"/>
      <c r="J90" s="128"/>
      <c r="K90" s="127"/>
      <c r="L90" s="128"/>
      <c r="M90" s="21"/>
      <c r="N90" s="21"/>
      <c r="O90" s="21"/>
      <c r="P90" s="21"/>
      <c r="Q90" s="21"/>
      <c r="R90" s="21"/>
      <c r="S90" s="21"/>
      <c r="T90" s="21"/>
      <c r="U90" s="50"/>
      <c r="V90" s="127"/>
      <c r="W90" s="2"/>
    </row>
    <row r="91" ht="30.0" customHeight="1">
      <c r="A91" s="179"/>
      <c r="B91" s="179"/>
      <c r="C91" s="42"/>
      <c r="D91" s="126"/>
      <c r="E91" s="37"/>
      <c r="F91" s="126"/>
      <c r="G91" s="179"/>
      <c r="H91" s="21"/>
      <c r="I91" s="21"/>
      <c r="J91" s="128"/>
      <c r="K91" s="127"/>
      <c r="L91" s="127"/>
      <c r="M91" s="21"/>
      <c r="N91" s="127"/>
      <c r="O91" s="21"/>
      <c r="P91" s="21"/>
      <c r="Q91" s="21"/>
      <c r="R91" s="21"/>
      <c r="S91" s="21"/>
      <c r="T91" s="127"/>
      <c r="U91" s="50"/>
      <c r="V91" s="127"/>
      <c r="W91" s="2"/>
    </row>
    <row r="92" ht="30.0" customHeight="1">
      <c r="A92" s="179"/>
      <c r="B92" s="179"/>
      <c r="C92" s="42"/>
      <c r="D92" s="126"/>
      <c r="E92" s="37"/>
      <c r="F92" s="126"/>
      <c r="G92" s="179"/>
      <c r="H92" s="21"/>
      <c r="I92" s="21"/>
      <c r="J92" s="128"/>
      <c r="K92" s="128"/>
      <c r="L92" s="127"/>
      <c r="M92" s="21"/>
      <c r="N92" s="127"/>
      <c r="O92" s="21"/>
      <c r="P92" s="21"/>
      <c r="Q92" s="21"/>
      <c r="R92" s="21"/>
      <c r="S92" s="21"/>
      <c r="T92" s="127"/>
      <c r="U92" s="50"/>
      <c r="V92" s="127"/>
      <c r="W92" s="2"/>
    </row>
    <row r="93" ht="30.0" customHeight="1">
      <c r="A93" s="179"/>
      <c r="B93" s="179"/>
      <c r="C93" s="42"/>
      <c r="D93" s="126"/>
      <c r="E93" s="37"/>
      <c r="F93" s="126"/>
      <c r="G93" s="179"/>
      <c r="H93" s="21"/>
      <c r="I93" s="21"/>
      <c r="J93" s="128"/>
      <c r="K93" s="128"/>
      <c r="L93" s="128"/>
      <c r="M93" s="21"/>
      <c r="N93" s="21"/>
      <c r="O93" s="21"/>
      <c r="P93" s="21"/>
      <c r="Q93" s="21"/>
      <c r="R93" s="21"/>
      <c r="S93" s="21"/>
      <c r="T93" s="21"/>
      <c r="U93" s="50"/>
      <c r="V93" s="127"/>
      <c r="W93" s="2"/>
    </row>
    <row r="94" ht="30.0" customHeight="1">
      <c r="A94" s="179"/>
      <c r="B94" s="179"/>
      <c r="C94" s="42"/>
      <c r="D94" s="126"/>
      <c r="E94" s="37"/>
      <c r="F94" s="126"/>
      <c r="G94" s="179"/>
      <c r="H94" s="21"/>
      <c r="I94" s="21"/>
      <c r="J94" s="127"/>
      <c r="K94" s="128"/>
      <c r="L94" s="127"/>
      <c r="M94" s="21"/>
      <c r="N94" s="127"/>
      <c r="O94" s="21"/>
      <c r="P94" s="21"/>
      <c r="Q94" s="127"/>
      <c r="R94" s="21"/>
      <c r="S94" s="21"/>
      <c r="T94" s="21"/>
      <c r="U94" s="50"/>
      <c r="V94" s="127"/>
      <c r="W94" s="2"/>
    </row>
    <row r="95" ht="30.0" customHeight="1">
      <c r="A95" s="179"/>
      <c r="B95" s="179"/>
      <c r="C95" s="42"/>
      <c r="D95" s="126"/>
      <c r="E95" s="37"/>
      <c r="F95" s="126"/>
      <c r="G95" s="179"/>
      <c r="H95" s="21"/>
      <c r="I95" s="21"/>
      <c r="J95" s="128"/>
      <c r="K95" s="128"/>
      <c r="L95" s="127"/>
      <c r="M95" s="21"/>
      <c r="N95" s="127"/>
      <c r="O95" s="21"/>
      <c r="P95" s="21"/>
      <c r="Q95" s="127"/>
      <c r="R95" s="127"/>
      <c r="S95" s="127"/>
      <c r="T95" s="21"/>
      <c r="U95" s="50"/>
      <c r="V95" s="127"/>
      <c r="W95" s="2"/>
    </row>
    <row r="96" ht="30.0" customHeight="1">
      <c r="A96" s="179"/>
      <c r="B96" s="179"/>
      <c r="C96" s="42"/>
      <c r="D96" s="126"/>
      <c r="E96" s="37"/>
      <c r="F96" s="126"/>
      <c r="G96" s="179"/>
      <c r="H96" s="21"/>
      <c r="I96" s="21"/>
      <c r="J96" s="128"/>
      <c r="K96" s="128"/>
      <c r="L96" s="128"/>
      <c r="M96" s="21"/>
      <c r="N96" s="21"/>
      <c r="O96" s="21"/>
      <c r="P96" s="21"/>
      <c r="Q96" s="21"/>
      <c r="R96" s="21"/>
      <c r="S96" s="21"/>
      <c r="T96" s="21"/>
      <c r="U96" s="50"/>
      <c r="V96" s="127"/>
      <c r="W96" s="2"/>
    </row>
    <row r="97" ht="30.0" customHeight="1">
      <c r="A97" s="179"/>
      <c r="B97" s="179"/>
      <c r="C97" s="93"/>
      <c r="D97" s="126"/>
      <c r="E97" s="37"/>
      <c r="F97" s="126"/>
      <c r="G97" s="179"/>
      <c r="H97" s="21"/>
      <c r="I97" s="21"/>
      <c r="J97" s="128"/>
      <c r="K97" s="128"/>
      <c r="L97" s="127"/>
      <c r="M97" s="21"/>
      <c r="N97" s="127"/>
      <c r="O97" s="21"/>
      <c r="P97" s="21"/>
      <c r="Q97" s="127"/>
      <c r="R97" s="21"/>
      <c r="S97" s="21"/>
      <c r="T97" s="21"/>
      <c r="U97" s="50"/>
      <c r="V97" s="127"/>
      <c r="W97" s="2"/>
    </row>
    <row r="98" ht="30.0" customHeight="1">
      <c r="A98" s="179"/>
      <c r="B98" s="179"/>
      <c r="C98" s="42"/>
      <c r="D98" s="126"/>
      <c r="E98" s="37"/>
      <c r="F98" s="126"/>
      <c r="G98" s="179"/>
      <c r="H98" s="21"/>
      <c r="I98" s="21"/>
      <c r="J98" s="127"/>
      <c r="K98" s="128"/>
      <c r="L98" s="127"/>
      <c r="M98" s="21"/>
      <c r="N98" s="127"/>
      <c r="O98" s="21"/>
      <c r="P98" s="21"/>
      <c r="Q98" s="21"/>
      <c r="R98" s="21"/>
      <c r="S98" s="21"/>
      <c r="T98" s="21"/>
      <c r="U98" s="50"/>
      <c r="V98" s="127"/>
      <c r="W98" s="2"/>
    </row>
    <row r="99" ht="30.0" customHeight="1">
      <c r="A99" s="186"/>
      <c r="B99" s="186"/>
      <c r="C99" s="137"/>
      <c r="D99" s="161"/>
      <c r="E99" s="37"/>
      <c r="F99" s="161"/>
      <c r="G99" s="186"/>
      <c r="H99" s="21"/>
      <c r="I99" s="21"/>
      <c r="J99" s="162"/>
      <c r="K99" s="162"/>
      <c r="L99" s="163"/>
      <c r="M99" s="148"/>
      <c r="N99" s="163"/>
      <c r="O99" s="21"/>
      <c r="P99" s="21"/>
      <c r="Q99" s="163"/>
      <c r="R99" s="148"/>
      <c r="S99" s="148"/>
      <c r="T99" s="148"/>
      <c r="U99" s="50"/>
      <c r="V99" s="127"/>
      <c r="W99" s="2"/>
    </row>
    <row r="100" ht="30.0" customHeight="1">
      <c r="A100" s="186"/>
      <c r="B100" s="186"/>
      <c r="C100" s="137"/>
      <c r="D100" s="161"/>
      <c r="E100" s="182"/>
      <c r="F100" s="161"/>
      <c r="G100" s="186"/>
      <c r="H100" s="148"/>
      <c r="I100" s="148"/>
      <c r="J100" s="162"/>
      <c r="K100" s="162"/>
      <c r="L100" s="163"/>
      <c r="M100" s="21"/>
      <c r="N100" s="148"/>
      <c r="O100" s="21"/>
      <c r="P100" s="21"/>
      <c r="Q100" s="21"/>
      <c r="R100" s="164"/>
      <c r="S100" s="164"/>
      <c r="T100" s="148"/>
      <c r="U100" s="50"/>
      <c r="V100" s="127"/>
      <c r="W100" s="2"/>
    </row>
    <row r="101" ht="30.0" customHeight="1">
      <c r="A101" s="186"/>
      <c r="B101" s="186"/>
      <c r="C101" s="169"/>
      <c r="D101" s="161"/>
      <c r="E101" s="182"/>
      <c r="F101" s="161"/>
      <c r="G101" s="186"/>
      <c r="H101" s="148"/>
      <c r="I101" s="148"/>
      <c r="J101" s="162"/>
      <c r="K101" s="162"/>
      <c r="L101" s="163"/>
      <c r="M101" s="21"/>
      <c r="N101" s="163"/>
      <c r="O101" s="21"/>
      <c r="P101" s="21"/>
      <c r="Q101" s="163"/>
      <c r="R101" s="148"/>
      <c r="S101" s="148"/>
      <c r="T101" s="148"/>
      <c r="U101" s="50"/>
      <c r="V101" s="127"/>
      <c r="W101" s="2"/>
    </row>
    <row r="102" ht="30.0" customHeight="1">
      <c r="A102" s="186"/>
      <c r="B102" s="186"/>
      <c r="C102" s="137"/>
      <c r="D102" s="161"/>
      <c r="E102" s="182"/>
      <c r="F102" s="161"/>
      <c r="G102" s="186"/>
      <c r="H102" s="148"/>
      <c r="I102" s="21"/>
      <c r="J102" s="162"/>
      <c r="K102" s="162"/>
      <c r="L102" s="163"/>
      <c r="M102" s="21"/>
      <c r="N102" s="163"/>
      <c r="O102" s="21"/>
      <c r="P102" s="21"/>
      <c r="Q102" s="163"/>
      <c r="R102" s="148"/>
      <c r="S102" s="148"/>
      <c r="T102" s="148"/>
      <c r="U102" s="50"/>
      <c r="V102" s="127"/>
      <c r="W102" s="2"/>
    </row>
    <row r="103" ht="30.0" customHeight="1">
      <c r="A103" s="186"/>
      <c r="B103" s="186"/>
      <c r="C103" s="137"/>
      <c r="D103" s="161"/>
      <c r="E103" s="182"/>
      <c r="F103" s="161"/>
      <c r="G103" s="186"/>
      <c r="H103" s="148"/>
      <c r="I103" s="21"/>
      <c r="J103" s="162"/>
      <c r="K103" s="162"/>
      <c r="L103" s="163"/>
      <c r="M103" s="21"/>
      <c r="N103" s="163"/>
      <c r="O103" s="21"/>
      <c r="P103" s="21"/>
      <c r="Q103" s="163"/>
      <c r="R103" s="148"/>
      <c r="S103" s="148"/>
      <c r="T103" s="148"/>
      <c r="U103" s="50"/>
      <c r="V103" s="127"/>
      <c r="W103" s="2"/>
    </row>
    <row r="104" ht="30.0" customHeight="1">
      <c r="A104" s="186"/>
      <c r="B104" s="186"/>
      <c r="C104" s="137"/>
      <c r="D104" s="161"/>
      <c r="E104" s="182"/>
      <c r="F104" s="161"/>
      <c r="G104" s="186"/>
      <c r="H104" s="148"/>
      <c r="I104" s="21"/>
      <c r="J104" s="162"/>
      <c r="K104" s="162"/>
      <c r="L104" s="163"/>
      <c r="M104" s="21"/>
      <c r="N104" s="163"/>
      <c r="O104" s="21"/>
      <c r="P104" s="21"/>
      <c r="Q104" s="163"/>
      <c r="R104" s="148"/>
      <c r="S104" s="148"/>
      <c r="T104" s="148"/>
      <c r="U104" s="50"/>
      <c r="V104" s="127"/>
      <c r="W104" s="2"/>
    </row>
    <row r="105" ht="30.0" customHeight="1">
      <c r="A105" s="186"/>
      <c r="B105" s="186"/>
      <c r="C105" s="137"/>
      <c r="D105" s="161"/>
      <c r="E105" s="182"/>
      <c r="F105" s="161"/>
      <c r="G105" s="186"/>
      <c r="H105" s="148"/>
      <c r="I105" s="21"/>
      <c r="J105" s="162"/>
      <c r="K105" s="128"/>
      <c r="L105" s="163"/>
      <c r="M105" s="21"/>
      <c r="N105" s="163"/>
      <c r="O105" s="21"/>
      <c r="P105" s="21"/>
      <c r="Q105" s="163"/>
      <c r="R105" s="148"/>
      <c r="S105" s="148"/>
      <c r="T105" s="148"/>
      <c r="U105" s="50"/>
      <c r="V105" s="127"/>
      <c r="W105" s="2"/>
    </row>
    <row r="106" ht="30.0" customHeight="1">
      <c r="A106" s="186"/>
      <c r="B106" s="186"/>
      <c r="C106" s="137"/>
      <c r="D106" s="161"/>
      <c r="E106" s="182"/>
      <c r="F106" s="161"/>
      <c r="G106" s="186"/>
      <c r="H106" s="21"/>
      <c r="I106" s="21"/>
      <c r="J106" s="162"/>
      <c r="K106" s="128"/>
      <c r="L106" s="163"/>
      <c r="M106" s="148"/>
      <c r="N106" s="163"/>
      <c r="O106" s="21"/>
      <c r="P106" s="21"/>
      <c r="Q106" s="163"/>
      <c r="R106" s="148"/>
      <c r="S106" s="148"/>
      <c r="T106" s="148"/>
      <c r="U106" s="50"/>
      <c r="V106" s="127"/>
      <c r="W106" s="2"/>
    </row>
    <row r="107" ht="30.0" customHeight="1">
      <c r="A107" s="186"/>
      <c r="B107" s="186"/>
      <c r="C107" s="137"/>
      <c r="D107" s="161"/>
      <c r="E107" s="182"/>
      <c r="F107" s="161"/>
      <c r="G107" s="186"/>
      <c r="H107" s="21"/>
      <c r="I107" s="21"/>
      <c r="J107" s="162"/>
      <c r="K107" s="162"/>
      <c r="L107" s="162"/>
      <c r="M107" s="148"/>
      <c r="N107" s="163"/>
      <c r="O107" s="21"/>
      <c r="P107" s="21"/>
      <c r="Q107" s="21"/>
      <c r="R107" s="148"/>
      <c r="S107" s="148"/>
      <c r="T107" s="148"/>
      <c r="U107" s="50"/>
      <c r="V107" s="127"/>
      <c r="W107" s="2"/>
    </row>
    <row r="108" ht="30.0" customHeight="1">
      <c r="A108" s="186"/>
      <c r="B108" s="186"/>
      <c r="C108" s="137"/>
      <c r="D108" s="161"/>
      <c r="E108" s="182"/>
      <c r="F108" s="161"/>
      <c r="G108" s="186"/>
      <c r="H108" s="21"/>
      <c r="I108" s="148"/>
      <c r="J108" s="162"/>
      <c r="K108" s="162"/>
      <c r="L108" s="163"/>
      <c r="M108" s="162"/>
      <c r="N108" s="163"/>
      <c r="O108" s="21"/>
      <c r="P108" s="21"/>
      <c r="Q108" s="163"/>
      <c r="R108" s="148"/>
      <c r="S108" s="148"/>
      <c r="T108" s="148"/>
      <c r="U108" s="50"/>
      <c r="V108" s="127"/>
      <c r="W108" s="2"/>
    </row>
    <row r="109" ht="30.0" customHeight="1">
      <c r="A109" s="186"/>
      <c r="B109" s="186"/>
      <c r="C109" s="137"/>
      <c r="D109" s="161"/>
      <c r="E109" s="182"/>
      <c r="F109" s="161"/>
      <c r="G109" s="186"/>
      <c r="H109" s="148"/>
      <c r="I109" s="148"/>
      <c r="J109" s="162"/>
      <c r="K109" s="162"/>
      <c r="L109" s="163"/>
      <c r="M109" s="162"/>
      <c r="N109" s="163"/>
      <c r="O109" s="21"/>
      <c r="P109" s="21"/>
      <c r="Q109" s="163"/>
      <c r="R109" s="148"/>
      <c r="S109" s="148"/>
      <c r="T109" s="148"/>
      <c r="U109" s="50"/>
      <c r="V109" s="127"/>
      <c r="W109" s="2"/>
    </row>
    <row r="110" ht="30.0" customHeight="1">
      <c r="A110" s="186"/>
      <c r="B110" s="186"/>
      <c r="C110" s="137"/>
      <c r="D110" s="161"/>
      <c r="E110" s="182"/>
      <c r="F110" s="161"/>
      <c r="G110" s="186"/>
      <c r="H110" s="21"/>
      <c r="I110" s="21"/>
      <c r="J110" s="162"/>
      <c r="K110" s="128"/>
      <c r="L110" s="163"/>
      <c r="M110" s="21"/>
      <c r="N110" s="163"/>
      <c r="O110" s="21"/>
      <c r="P110" s="21"/>
      <c r="Q110" s="163"/>
      <c r="R110" s="148"/>
      <c r="S110" s="148"/>
      <c r="T110" s="148"/>
      <c r="U110" s="50"/>
      <c r="V110" s="127"/>
      <c r="W110" s="2"/>
    </row>
    <row r="111" ht="30.0" customHeight="1">
      <c r="A111" s="186"/>
      <c r="B111" s="186"/>
      <c r="C111" s="137"/>
      <c r="D111" s="161"/>
      <c r="E111" s="182"/>
      <c r="F111" s="161"/>
      <c r="G111" s="186"/>
      <c r="H111" s="21"/>
      <c r="I111" s="21"/>
      <c r="J111" s="162"/>
      <c r="K111" s="162"/>
      <c r="L111" s="163"/>
      <c r="M111" s="148"/>
      <c r="N111" s="163"/>
      <c r="O111" s="127"/>
      <c r="P111" s="127"/>
      <c r="Q111" s="163"/>
      <c r="R111" s="148"/>
      <c r="S111" s="148"/>
      <c r="T111" s="148"/>
      <c r="U111" s="50"/>
      <c r="V111" s="127"/>
      <c r="W111" s="2"/>
    </row>
    <row r="112" ht="30.0" customHeight="1">
      <c r="A112" s="186"/>
      <c r="B112" s="186"/>
      <c r="C112" s="137"/>
      <c r="D112" s="161"/>
      <c r="E112" s="182"/>
      <c r="F112" s="161"/>
      <c r="G112" s="186"/>
      <c r="H112" s="21"/>
      <c r="I112" s="21"/>
      <c r="J112" s="162"/>
      <c r="K112" s="162"/>
      <c r="L112" s="163"/>
      <c r="M112" s="148"/>
      <c r="N112" s="163"/>
      <c r="O112" s="148"/>
      <c r="P112" s="148"/>
      <c r="Q112" s="163"/>
      <c r="R112" s="148"/>
      <c r="S112" s="148"/>
      <c r="T112" s="148"/>
      <c r="U112" s="50"/>
      <c r="V112" s="127"/>
      <c r="W112" s="2"/>
    </row>
    <row r="113" ht="30.0" customHeight="1">
      <c r="A113" s="186"/>
      <c r="B113" s="186"/>
      <c r="C113" s="137"/>
      <c r="D113" s="161"/>
      <c r="E113" s="182"/>
      <c r="F113" s="161"/>
      <c r="G113" s="186"/>
      <c r="H113" s="21"/>
      <c r="I113" s="21"/>
      <c r="J113" s="162"/>
      <c r="K113" s="162"/>
      <c r="L113" s="163"/>
      <c r="M113" s="148"/>
      <c r="N113" s="163"/>
      <c r="O113" s="21"/>
      <c r="P113" s="21"/>
      <c r="Q113" s="163"/>
      <c r="R113" s="148"/>
      <c r="S113" s="148"/>
      <c r="T113" s="148"/>
      <c r="U113" s="50"/>
      <c r="V113" s="127"/>
      <c r="W113" s="2"/>
    </row>
    <row r="114" ht="30.0" customHeight="1">
      <c r="A114" s="186"/>
      <c r="B114" s="186"/>
      <c r="C114" s="137"/>
      <c r="D114" s="161"/>
      <c r="E114" s="182"/>
      <c r="F114" s="161"/>
      <c r="G114" s="186"/>
      <c r="H114" s="21"/>
      <c r="I114" s="21"/>
      <c r="J114" s="162"/>
      <c r="K114" s="128"/>
      <c r="L114" s="163"/>
      <c r="M114" s="21"/>
      <c r="N114" s="163"/>
      <c r="O114" s="21"/>
      <c r="P114" s="21"/>
      <c r="Q114" s="163"/>
      <c r="R114" s="148"/>
      <c r="S114" s="148"/>
      <c r="T114" s="148"/>
      <c r="U114" s="50"/>
      <c r="V114" s="127"/>
      <c r="W114" s="2"/>
    </row>
    <row r="115" ht="30.0" customHeight="1">
      <c r="A115" s="186"/>
      <c r="B115" s="186"/>
      <c r="C115" s="137"/>
      <c r="D115" s="161"/>
      <c r="E115" s="182"/>
      <c r="F115" s="161"/>
      <c r="G115" s="186"/>
      <c r="H115" s="21"/>
      <c r="I115" s="21"/>
      <c r="J115" s="162"/>
      <c r="K115" s="162"/>
      <c r="L115" s="163"/>
      <c r="M115" s="148"/>
      <c r="N115" s="163"/>
      <c r="O115" s="148"/>
      <c r="P115" s="148"/>
      <c r="Q115" s="163"/>
      <c r="R115" s="148"/>
      <c r="S115" s="148"/>
      <c r="T115" s="148"/>
      <c r="U115" s="50"/>
      <c r="V115" s="127"/>
      <c r="W115" s="2"/>
    </row>
    <row r="116" ht="30.0" customHeight="1">
      <c r="A116" s="186"/>
      <c r="B116" s="186"/>
      <c r="C116" s="137"/>
      <c r="D116" s="161"/>
      <c r="E116" s="182"/>
      <c r="F116" s="161"/>
      <c r="G116" s="186"/>
      <c r="H116" s="21"/>
      <c r="I116" s="21"/>
      <c r="J116" s="162"/>
      <c r="K116" s="162"/>
      <c r="L116" s="163"/>
      <c r="M116" s="148"/>
      <c r="N116" s="163"/>
      <c r="O116" s="148"/>
      <c r="P116" s="148"/>
      <c r="Q116" s="163"/>
      <c r="R116" s="148"/>
      <c r="S116" s="148"/>
      <c r="T116" s="148"/>
      <c r="U116" s="50"/>
      <c r="V116" s="127"/>
      <c r="W116" s="2"/>
    </row>
    <row r="117" ht="30.0" customHeight="1">
      <c r="A117" s="186"/>
      <c r="B117" s="186"/>
      <c r="C117" s="137"/>
      <c r="D117" s="161"/>
      <c r="E117" s="182"/>
      <c r="F117" s="161"/>
      <c r="G117" s="186"/>
      <c r="H117" s="21"/>
      <c r="I117" s="148"/>
      <c r="J117" s="162"/>
      <c r="K117" s="128"/>
      <c r="L117" s="163"/>
      <c r="M117" s="21"/>
      <c r="N117" s="163"/>
      <c r="O117" s="21"/>
      <c r="P117" s="21"/>
      <c r="Q117" s="163"/>
      <c r="R117" s="148"/>
      <c r="S117" s="148"/>
      <c r="T117" s="148"/>
      <c r="U117" s="50"/>
      <c r="V117" s="127"/>
      <c r="W117" s="2"/>
    </row>
    <row r="118" ht="30.0" customHeight="1">
      <c r="A118" s="186"/>
      <c r="B118" s="186"/>
      <c r="C118" s="137"/>
      <c r="D118" s="161"/>
      <c r="E118" s="182"/>
      <c r="F118" s="161"/>
      <c r="G118" s="186"/>
      <c r="H118" s="21"/>
      <c r="I118" s="21"/>
      <c r="J118" s="162"/>
      <c r="K118" s="162"/>
      <c r="L118" s="162"/>
      <c r="M118" s="148"/>
      <c r="N118" s="148"/>
      <c r="O118" s="21"/>
      <c r="P118" s="21"/>
      <c r="Q118" s="21"/>
      <c r="R118" s="148"/>
      <c r="S118" s="148"/>
      <c r="T118" s="148"/>
      <c r="U118" s="50"/>
      <c r="V118" s="127"/>
      <c r="W118" s="2"/>
    </row>
    <row r="119" ht="30.0" customHeight="1">
      <c r="A119" s="186"/>
      <c r="B119" s="186"/>
      <c r="C119" s="137"/>
      <c r="D119" s="161"/>
      <c r="E119" s="182"/>
      <c r="F119" s="161"/>
      <c r="G119" s="186"/>
      <c r="H119" s="21"/>
      <c r="I119" s="21"/>
      <c r="J119" s="162"/>
      <c r="K119" s="128"/>
      <c r="L119" s="163"/>
      <c r="M119" s="21"/>
      <c r="N119" s="163"/>
      <c r="O119" s="21"/>
      <c r="P119" s="21"/>
      <c r="Q119" s="163"/>
      <c r="R119" s="148"/>
      <c r="S119" s="148"/>
      <c r="T119" s="148"/>
      <c r="U119" s="50"/>
      <c r="V119" s="127"/>
      <c r="W119" s="2"/>
    </row>
    <row r="120" ht="30.0" customHeight="1">
      <c r="A120" s="186"/>
      <c r="B120" s="186"/>
      <c r="C120" s="169"/>
      <c r="D120" s="161"/>
      <c r="E120" s="182"/>
      <c r="F120" s="161"/>
      <c r="G120" s="186"/>
      <c r="H120" s="148"/>
      <c r="I120" s="148"/>
      <c r="J120" s="162"/>
      <c r="K120" s="162"/>
      <c r="L120" s="168"/>
      <c r="M120" s="148"/>
      <c r="N120" s="148"/>
      <c r="O120" s="21"/>
      <c r="P120" s="21"/>
      <c r="Q120" s="21"/>
      <c r="R120" s="148"/>
      <c r="S120" s="148"/>
      <c r="T120" s="148"/>
      <c r="U120" s="134"/>
      <c r="V120" s="127"/>
      <c r="W120" s="2"/>
    </row>
    <row r="121" ht="30.0" customHeight="1">
      <c r="A121" s="186"/>
      <c r="B121" s="186"/>
      <c r="C121" s="169"/>
      <c r="D121" s="161"/>
      <c r="E121" s="182"/>
      <c r="F121" s="161"/>
      <c r="G121" s="186"/>
      <c r="H121" s="148"/>
      <c r="I121" s="148"/>
      <c r="J121" s="162"/>
      <c r="K121" s="168"/>
      <c r="L121" s="163"/>
      <c r="M121" s="148"/>
      <c r="N121" s="163"/>
      <c r="O121" s="21"/>
      <c r="P121" s="21"/>
      <c r="Q121" s="163"/>
      <c r="R121" s="148"/>
      <c r="S121" s="148"/>
      <c r="T121" s="148"/>
      <c r="U121" s="134"/>
      <c r="V121" s="127"/>
      <c r="W121" s="2"/>
    </row>
    <row r="122" ht="30.0" customHeight="1">
      <c r="A122" s="186"/>
      <c r="B122" s="186"/>
      <c r="C122" s="169"/>
      <c r="D122" s="161"/>
      <c r="E122" s="182"/>
      <c r="F122" s="161"/>
      <c r="G122" s="186"/>
      <c r="H122" s="148"/>
      <c r="I122" s="148"/>
      <c r="J122" s="162"/>
      <c r="K122" s="168"/>
      <c r="L122" s="163"/>
      <c r="M122" s="148"/>
      <c r="N122" s="163"/>
      <c r="O122" s="21"/>
      <c r="P122" s="21"/>
      <c r="Q122" s="163"/>
      <c r="R122" s="148"/>
      <c r="S122" s="148"/>
      <c r="T122" s="148"/>
      <c r="U122" s="134"/>
      <c r="V122" s="127"/>
      <c r="W122" s="2"/>
    </row>
    <row r="123" ht="30.0" customHeight="1">
      <c r="A123" s="186"/>
      <c r="B123" s="186"/>
      <c r="C123" s="169"/>
      <c r="D123" s="161"/>
      <c r="E123" s="182"/>
      <c r="F123" s="161"/>
      <c r="G123" s="186"/>
      <c r="H123" s="148"/>
      <c r="I123" s="21"/>
      <c r="J123" s="162"/>
      <c r="K123" s="128"/>
      <c r="L123" s="163"/>
      <c r="M123" s="148"/>
      <c r="N123" s="163"/>
      <c r="O123" s="21"/>
      <c r="P123" s="21"/>
      <c r="Q123" s="163"/>
      <c r="R123" s="148"/>
      <c r="S123" s="148"/>
      <c r="T123" s="148"/>
      <c r="U123" s="134"/>
      <c r="V123" s="127"/>
      <c r="W123" s="2"/>
    </row>
    <row r="124" ht="30.0" customHeight="1">
      <c r="A124" s="186"/>
      <c r="B124" s="186"/>
      <c r="C124" s="169"/>
      <c r="D124" s="161"/>
      <c r="E124" s="182"/>
      <c r="F124" s="161"/>
      <c r="G124" s="186"/>
      <c r="H124" s="148"/>
      <c r="I124" s="148"/>
      <c r="J124" s="162"/>
      <c r="K124" s="128"/>
      <c r="L124" s="162"/>
      <c r="M124" s="148"/>
      <c r="N124" s="148"/>
      <c r="O124" s="21"/>
      <c r="P124" s="21"/>
      <c r="Q124" s="21"/>
      <c r="R124" s="148"/>
      <c r="S124" s="148"/>
      <c r="T124" s="148"/>
      <c r="U124" s="134"/>
      <c r="V124" s="127"/>
      <c r="W124" s="2"/>
    </row>
    <row r="125" ht="30.0" customHeight="1">
      <c r="A125" s="186"/>
      <c r="B125" s="186"/>
      <c r="C125" s="169"/>
      <c r="D125" s="161"/>
      <c r="E125" s="182"/>
      <c r="F125" s="161"/>
      <c r="G125" s="186"/>
      <c r="H125" s="148"/>
      <c r="I125" s="21"/>
      <c r="J125" s="162"/>
      <c r="K125" s="162"/>
      <c r="L125" s="163"/>
      <c r="M125" s="148"/>
      <c r="N125" s="148"/>
      <c r="O125" s="21"/>
      <c r="P125" s="21"/>
      <c r="Q125" s="21"/>
      <c r="R125" s="148"/>
      <c r="S125" s="148"/>
      <c r="T125" s="148"/>
      <c r="U125" s="134"/>
      <c r="V125" s="127"/>
      <c r="W125" s="2"/>
    </row>
    <row r="126" ht="30.0" customHeight="1">
      <c r="A126" s="186"/>
      <c r="B126" s="186"/>
      <c r="C126" s="169"/>
      <c r="D126" s="161"/>
      <c r="E126" s="182"/>
      <c r="F126" s="161"/>
      <c r="G126" s="186"/>
      <c r="H126" s="148"/>
      <c r="I126" s="21"/>
      <c r="J126" s="162"/>
      <c r="K126" s="162"/>
      <c r="L126" s="162"/>
      <c r="M126" s="148"/>
      <c r="N126" s="148"/>
      <c r="O126" s="148"/>
      <c r="P126" s="148"/>
      <c r="Q126" s="21"/>
      <c r="R126" s="148"/>
      <c r="S126" s="148"/>
      <c r="T126" s="148"/>
      <c r="U126" s="134"/>
      <c r="V126" s="127"/>
      <c r="W126" s="2"/>
    </row>
    <row r="127" ht="30.0" customHeight="1">
      <c r="A127" s="186"/>
      <c r="B127" s="186"/>
      <c r="C127" s="169"/>
      <c r="D127" s="161"/>
      <c r="E127" s="182"/>
      <c r="F127" s="161"/>
      <c r="G127" s="186"/>
      <c r="H127" s="148"/>
      <c r="I127" s="148"/>
      <c r="J127" s="162"/>
      <c r="K127" s="162"/>
      <c r="L127" s="163"/>
      <c r="M127" s="148"/>
      <c r="N127" s="163"/>
      <c r="O127" s="148"/>
      <c r="P127" s="148"/>
      <c r="Q127" s="163"/>
      <c r="R127" s="148"/>
      <c r="S127" s="148"/>
      <c r="T127" s="148"/>
      <c r="U127" s="134"/>
      <c r="V127" s="127"/>
      <c r="W127" s="2"/>
    </row>
    <row r="128" ht="30.0" customHeight="1">
      <c r="A128" s="186"/>
      <c r="B128" s="186"/>
      <c r="C128" s="169"/>
      <c r="D128" s="161"/>
      <c r="E128" s="182"/>
      <c r="F128" s="161"/>
      <c r="G128" s="186"/>
      <c r="H128" s="148"/>
      <c r="I128" s="21"/>
      <c r="J128" s="162"/>
      <c r="K128" s="162"/>
      <c r="L128" s="163"/>
      <c r="M128" s="148"/>
      <c r="N128" s="163"/>
      <c r="O128" s="148"/>
      <c r="P128" s="148"/>
      <c r="Q128" s="163"/>
      <c r="R128" s="148"/>
      <c r="S128" s="148"/>
      <c r="T128" s="148"/>
      <c r="U128" s="134"/>
      <c r="V128" s="127"/>
      <c r="W128" s="2"/>
    </row>
    <row r="129" ht="30.0" customHeight="1">
      <c r="A129" s="179"/>
      <c r="B129" s="179"/>
      <c r="C129" s="93"/>
      <c r="D129" s="126"/>
      <c r="E129" s="37"/>
      <c r="F129" s="126"/>
      <c r="G129" s="179"/>
      <c r="H129" s="21"/>
      <c r="I129" s="148"/>
      <c r="J129" s="128"/>
      <c r="K129" s="128"/>
      <c r="L129" s="127"/>
      <c r="M129" s="21"/>
      <c r="N129" s="127"/>
      <c r="O129" s="21"/>
      <c r="P129" s="21"/>
      <c r="Q129" s="21"/>
      <c r="R129" s="127"/>
      <c r="S129" s="127"/>
      <c r="T129" s="127"/>
      <c r="U129" s="50"/>
      <c r="V129" s="127"/>
      <c r="W129" s="2"/>
    </row>
    <row r="130" ht="30.0" customHeight="1">
      <c r="A130" s="179"/>
      <c r="B130" s="179"/>
      <c r="C130" s="93"/>
      <c r="D130" s="126"/>
      <c r="E130" s="37"/>
      <c r="F130" s="126"/>
      <c r="G130" s="179"/>
      <c r="H130" s="21"/>
      <c r="I130" s="148"/>
      <c r="J130" s="128"/>
      <c r="K130" s="128"/>
      <c r="L130" s="127"/>
      <c r="M130" s="21"/>
      <c r="N130" s="21"/>
      <c r="O130" s="21"/>
      <c r="P130" s="21"/>
      <c r="Q130" s="21"/>
      <c r="R130" s="127"/>
      <c r="S130" s="127"/>
      <c r="T130" s="127"/>
      <c r="U130" s="50"/>
      <c r="V130" s="127"/>
      <c r="W130" s="2"/>
    </row>
    <row r="131" ht="30.0" customHeight="1">
      <c r="A131" s="179"/>
      <c r="B131" s="179"/>
      <c r="C131" s="93"/>
      <c r="D131" s="126"/>
      <c r="E131" s="37"/>
      <c r="F131" s="126"/>
      <c r="G131" s="179"/>
      <c r="H131" s="21"/>
      <c r="I131" s="21"/>
      <c r="J131" s="128"/>
      <c r="K131" s="128"/>
      <c r="L131" s="127"/>
      <c r="M131" s="21"/>
      <c r="N131" s="127"/>
      <c r="O131" s="21"/>
      <c r="P131" s="21"/>
      <c r="Q131" s="127"/>
      <c r="R131" s="127"/>
      <c r="S131" s="127"/>
      <c r="T131" s="127"/>
      <c r="U131" s="50"/>
      <c r="V131" s="127"/>
      <c r="W131" s="2"/>
    </row>
    <row r="132" ht="30.0" customHeight="1">
      <c r="A132" s="179"/>
      <c r="B132" s="179"/>
      <c r="C132" s="93"/>
      <c r="D132" s="126"/>
      <c r="E132" s="37"/>
      <c r="F132" s="126"/>
      <c r="G132" s="179"/>
      <c r="H132" s="21"/>
      <c r="I132" s="21"/>
      <c r="J132" s="128"/>
      <c r="K132" s="128"/>
      <c r="L132" s="127"/>
      <c r="M132" s="21"/>
      <c r="N132" s="127"/>
      <c r="O132" s="21"/>
      <c r="P132" s="21"/>
      <c r="Q132" s="21"/>
      <c r="R132" s="21"/>
      <c r="S132" s="21"/>
      <c r="T132" s="21"/>
      <c r="U132" s="50"/>
      <c r="V132" s="127"/>
      <c r="W132" s="2"/>
    </row>
    <row r="133" ht="22.5" customHeight="1">
      <c r="A133" s="179"/>
      <c r="B133" s="179"/>
      <c r="C133" s="93"/>
      <c r="D133" s="126"/>
      <c r="E133" s="37"/>
      <c r="F133" s="126"/>
      <c r="G133" s="179"/>
      <c r="H133" s="21"/>
      <c r="I133" s="21"/>
      <c r="J133" s="128"/>
      <c r="K133" s="128"/>
      <c r="L133" s="127"/>
      <c r="M133" s="21"/>
      <c r="N133" s="127"/>
      <c r="O133" s="21"/>
      <c r="P133" s="21"/>
      <c r="Q133" s="21"/>
      <c r="R133" s="127"/>
      <c r="S133" s="127"/>
      <c r="T133" s="127"/>
      <c r="U133" s="50"/>
      <c r="V133" s="127"/>
      <c r="W133" s="2"/>
    </row>
    <row r="134">
      <c r="A134" s="2"/>
      <c r="B134" s="2"/>
      <c r="C134" s="89"/>
      <c r="D134" s="2"/>
      <c r="E134" s="2"/>
      <c r="F134" s="2"/>
      <c r="G134" s="2"/>
      <c r="H134" s="2"/>
      <c r="I134" s="89"/>
      <c r="J134" s="2"/>
      <c r="K134" s="2"/>
      <c r="L134" s="2"/>
      <c r="M134" s="2"/>
      <c r="N134" s="2"/>
      <c r="O134" s="2"/>
      <c r="P134" s="2"/>
      <c r="Q134" s="2"/>
      <c r="R134" s="2"/>
      <c r="S134" s="89"/>
      <c r="T134" s="2"/>
      <c r="U134" s="2"/>
      <c r="V134" s="2"/>
      <c r="W134" s="2"/>
    </row>
    <row r="135">
      <c r="A135" s="2"/>
      <c r="B135" s="2"/>
      <c r="C135" s="89"/>
      <c r="D135" s="2"/>
      <c r="E135" s="2"/>
      <c r="F135" s="2"/>
      <c r="G135" s="2"/>
      <c r="H135" s="2"/>
      <c r="I135" s="89"/>
      <c r="J135" s="2"/>
      <c r="K135" s="2"/>
      <c r="L135" s="2"/>
      <c r="M135" s="2"/>
      <c r="N135" s="2"/>
      <c r="O135" s="2"/>
      <c r="P135" s="2"/>
      <c r="Q135" s="2"/>
      <c r="R135" s="2"/>
      <c r="S135" s="89"/>
      <c r="T135" s="2"/>
      <c r="U135" s="2"/>
      <c r="V135" s="2"/>
      <c r="W135" s="2"/>
    </row>
    <row r="136">
      <c r="A136" s="2"/>
      <c r="B136" s="2"/>
      <c r="C136" s="89"/>
      <c r="D136" s="2"/>
      <c r="E136" s="2"/>
      <c r="F136" s="2"/>
      <c r="G136" s="2"/>
      <c r="H136" s="2"/>
      <c r="I136" s="89"/>
      <c r="J136" s="2"/>
      <c r="K136" s="2"/>
      <c r="L136" s="2"/>
      <c r="M136" s="2"/>
      <c r="N136" s="2"/>
      <c r="O136" s="2"/>
      <c r="P136" s="2"/>
      <c r="Q136" s="2"/>
      <c r="R136" s="2"/>
      <c r="S136" s="89"/>
      <c r="T136" s="2"/>
      <c r="U136" s="2"/>
      <c r="V136" s="2"/>
      <c r="W136" s="2"/>
    </row>
    <row r="137">
      <c r="A137" s="2"/>
      <c r="B137" s="2"/>
      <c r="C137" s="89"/>
      <c r="D137" s="2"/>
      <c r="E137" s="2"/>
      <c r="F137" s="2"/>
      <c r="G137" s="2"/>
      <c r="H137" s="2"/>
      <c r="I137" s="89"/>
      <c r="J137" s="2"/>
      <c r="K137" s="2"/>
      <c r="L137" s="2"/>
      <c r="M137" s="2"/>
      <c r="N137" s="2"/>
      <c r="O137" s="2"/>
      <c r="P137" s="2"/>
      <c r="Q137" s="2"/>
      <c r="R137" s="2"/>
      <c r="S137" s="89"/>
      <c r="T137" s="2"/>
      <c r="U137" s="2"/>
      <c r="V137" s="2"/>
      <c r="W137" s="2"/>
    </row>
    <row r="138">
      <c r="A138" s="2"/>
      <c r="B138" s="2"/>
      <c r="C138" s="89"/>
      <c r="D138" s="2"/>
      <c r="E138" s="2"/>
      <c r="F138" s="2"/>
      <c r="G138" s="2"/>
      <c r="H138" s="2"/>
      <c r="I138" s="89"/>
      <c r="J138" s="2"/>
      <c r="K138" s="2"/>
      <c r="L138" s="2"/>
      <c r="M138" s="2"/>
      <c r="N138" s="2"/>
      <c r="O138" s="2"/>
      <c r="P138" s="2"/>
      <c r="Q138" s="2"/>
      <c r="R138" s="2"/>
      <c r="S138" s="89"/>
      <c r="T138" s="2"/>
      <c r="U138" s="2"/>
      <c r="V138" s="2"/>
      <c r="W138" s="2"/>
    </row>
    <row r="139">
      <c r="A139" s="2"/>
      <c r="B139" s="2"/>
      <c r="C139" s="89"/>
      <c r="D139" s="2"/>
      <c r="E139" s="2"/>
      <c r="F139" s="2"/>
      <c r="G139" s="2"/>
      <c r="H139" s="2"/>
      <c r="I139" s="89"/>
      <c r="J139" s="2"/>
      <c r="K139" s="2"/>
      <c r="L139" s="2"/>
      <c r="M139" s="2"/>
      <c r="N139" s="2"/>
      <c r="O139" s="2"/>
      <c r="P139" s="2"/>
      <c r="Q139" s="2"/>
      <c r="R139" s="2"/>
      <c r="S139" s="89"/>
      <c r="T139" s="2"/>
      <c r="U139" s="2"/>
      <c r="V139" s="2"/>
      <c r="W139" s="2"/>
    </row>
    <row r="140">
      <c r="A140" s="2"/>
      <c r="B140" s="2"/>
      <c r="C140" s="89"/>
      <c r="D140" s="2"/>
      <c r="E140" s="2"/>
      <c r="F140" s="2"/>
      <c r="G140" s="2"/>
      <c r="H140" s="2"/>
      <c r="I140" s="89"/>
      <c r="J140" s="2"/>
      <c r="K140" s="2"/>
      <c r="L140" s="2"/>
      <c r="M140" s="2"/>
      <c r="N140" s="2"/>
      <c r="O140" s="2"/>
      <c r="P140" s="2"/>
      <c r="Q140" s="2"/>
      <c r="R140" s="2"/>
      <c r="S140" s="89"/>
      <c r="T140" s="2"/>
      <c r="U140" s="2"/>
      <c r="V140" s="2"/>
      <c r="W140" s="2"/>
    </row>
    <row r="141">
      <c r="A141" s="2"/>
      <c r="B141" s="2"/>
      <c r="C141" s="89"/>
      <c r="D141" s="2"/>
      <c r="E141" s="2"/>
      <c r="F141" s="2"/>
      <c r="G141" s="2"/>
      <c r="H141" s="2"/>
      <c r="I141" s="89"/>
      <c r="J141" s="2"/>
      <c r="K141" s="2"/>
      <c r="L141" s="2"/>
      <c r="M141" s="2"/>
      <c r="N141" s="2"/>
      <c r="O141" s="2"/>
      <c r="P141" s="2"/>
      <c r="Q141" s="2"/>
      <c r="R141" s="2"/>
      <c r="S141" s="89"/>
      <c r="T141" s="2"/>
      <c r="U141" s="2"/>
      <c r="V141" s="2"/>
      <c r="W141" s="2"/>
    </row>
    <row r="142">
      <c r="A142" s="2"/>
      <c r="B142" s="2"/>
      <c r="C142" s="89"/>
      <c r="D142" s="2"/>
      <c r="E142" s="2"/>
      <c r="F142" s="2"/>
      <c r="G142" s="2"/>
      <c r="H142" s="2"/>
      <c r="I142" s="89"/>
      <c r="J142" s="2"/>
      <c r="K142" s="2"/>
      <c r="L142" s="2"/>
      <c r="M142" s="2"/>
      <c r="O142" s="2"/>
      <c r="P142" s="2"/>
      <c r="Q142" s="2"/>
      <c r="R142" s="2"/>
      <c r="S142" s="89"/>
      <c r="T142" s="2"/>
      <c r="U142" s="2"/>
      <c r="V142" s="2"/>
      <c r="W142" s="2"/>
    </row>
  </sheetData>
  <mergeCells count="1">
    <mergeCell ref="A1:R4"/>
  </mergeCells>
  <dataValidations>
    <dataValidation type="list" allowBlank="1" sqref="B6:B133">
      <formula1>"02406/2025"</formula1>
    </dataValidation>
    <dataValidation type="list" allowBlank="1" sqref="A6:A133">
      <formula1>"N° 56/2026-TECHSCAN"</formula1>
    </dataValidation>
    <dataValidation type="list" allowBlank="1" sqref="F6:F133">
      <formula1>"VISTORIA TÉCNICA,MANUTENÇÃO CORRETIVA,MANUTENÇÃO PREVENTIVA,VISTORIA EM GARANTIA"</formula1>
    </dataValidation>
    <dataValidation type="list" allowBlank="1" sqref="D6:D133">
      <formula1>"ESTEIRA"</formula1>
    </dataValidation>
    <dataValidation type="list" allowBlank="1" sqref="U6:U133">
      <formula1>"CONCLUÍDO,PENDENTE,AGUARDANDO MANUTENÇÃO"</formula1>
    </dataValidation>
    <dataValidation allowBlank="1" showDropDown="1" sqref="C6:C133 E6:E133"/>
    <dataValidation type="list" allowBlank="1" sqref="G6:G133">
      <formula1>"CX6040BI,CX10080T,CX100100TI"</formula1>
    </dataValidation>
  </dataValidations>
  <hyperlinks>
    <hyperlink r:id="rId1" ref="S6"/>
    <hyperlink r:id="rId2" ref="T6"/>
    <hyperlink r:id="rId3" ref="S7"/>
    <hyperlink r:id="rId4" ref="T7"/>
    <hyperlink r:id="rId5" ref="T8"/>
    <hyperlink r:id="rId6" ref="S9"/>
    <hyperlink r:id="rId7" ref="T9"/>
    <hyperlink r:id="rId8" ref="S10"/>
    <hyperlink r:id="rId9" ref="T10"/>
    <hyperlink r:id="rId10" ref="S11"/>
    <hyperlink r:id="rId11" ref="T11"/>
    <hyperlink r:id="rId12" ref="S12"/>
    <hyperlink r:id="rId13" ref="T12"/>
    <hyperlink r:id="rId14" ref="S14"/>
    <hyperlink r:id="rId15" ref="T14"/>
    <hyperlink r:id="rId16" ref="T15"/>
    <hyperlink r:id="rId17" ref="S16"/>
    <hyperlink r:id="rId18" ref="T16"/>
    <hyperlink r:id="rId19" ref="S17"/>
    <hyperlink r:id="rId20" ref="T17"/>
    <hyperlink r:id="rId21" ref="T18"/>
    <hyperlink r:id="rId22" ref="T19"/>
    <hyperlink r:id="rId23" ref="V19"/>
    <hyperlink r:id="rId24" ref="T20"/>
    <hyperlink r:id="rId25" ref="V20"/>
    <hyperlink r:id="rId26" ref="T21"/>
    <hyperlink r:id="rId27" ref="V21"/>
    <hyperlink r:id="rId28" ref="T22"/>
    <hyperlink r:id="rId29" ref="V22"/>
    <hyperlink r:id="rId30" ref="V23"/>
    <hyperlink r:id="rId31" ref="V24"/>
    <hyperlink r:id="rId32" ref="V25"/>
    <hyperlink r:id="rId33" ref="V26"/>
    <hyperlink r:id="rId34" ref="V27"/>
    <hyperlink r:id="rId35" ref="V28"/>
    <hyperlink r:id="rId36" ref="T29"/>
    <hyperlink r:id="rId37" ref="V29"/>
    <hyperlink r:id="rId38" ref="T30"/>
    <hyperlink r:id="rId39" ref="V30"/>
    <hyperlink r:id="rId40" ref="T31"/>
    <hyperlink r:id="rId41" ref="V31"/>
    <hyperlink r:id="rId42" ref="V32"/>
    <hyperlink r:id="rId43" ref="V33"/>
    <hyperlink r:id="rId44" ref="V34"/>
    <hyperlink r:id="rId45" ref="V35"/>
    <hyperlink r:id="rId46" ref="T36"/>
    <hyperlink r:id="rId47" ref="V36"/>
    <hyperlink r:id="rId48" ref="T37"/>
    <hyperlink r:id="rId49" ref="V37"/>
    <hyperlink r:id="rId50" ref="T38"/>
    <hyperlink r:id="rId51" ref="V38"/>
    <hyperlink r:id="rId52" ref="V39"/>
    <hyperlink r:id="rId53" ref="T40"/>
    <hyperlink r:id="rId54" ref="V40"/>
    <hyperlink r:id="rId55" ref="T41"/>
    <hyperlink r:id="rId56" ref="V41"/>
    <hyperlink r:id="rId57" ref="V42"/>
    <hyperlink r:id="rId58" ref="V43"/>
    <hyperlink r:id="rId59" ref="V44"/>
    <hyperlink r:id="rId60" ref="V45"/>
    <hyperlink r:id="rId61" ref="V46"/>
    <hyperlink r:id="rId62" ref="V47"/>
    <hyperlink r:id="rId63" ref="V48"/>
    <hyperlink r:id="rId64" ref="V49"/>
    <hyperlink r:id="rId65" ref="T50"/>
    <hyperlink r:id="rId66" ref="V50"/>
    <hyperlink r:id="rId67" ref="V51"/>
    <hyperlink r:id="rId68" ref="V52"/>
    <hyperlink r:id="rId69" ref="V53"/>
    <hyperlink r:id="rId70" ref="V54"/>
    <hyperlink r:id="rId71" ref="V55"/>
    <hyperlink r:id="rId72" ref="V56"/>
    <hyperlink r:id="rId73" ref="V57"/>
    <hyperlink r:id="rId74" ref="V58"/>
    <hyperlink r:id="rId75" ref="S59"/>
    <hyperlink r:id="rId76" ref="T59"/>
    <hyperlink r:id="rId77" ref="S60"/>
    <hyperlink r:id="rId78" ref="T60"/>
    <hyperlink r:id="rId79" ref="S61"/>
    <hyperlink r:id="rId80" ref="T61"/>
    <hyperlink r:id="rId81" ref="S62"/>
    <hyperlink r:id="rId82" ref="T62"/>
    <hyperlink r:id="rId83" ref="S63"/>
    <hyperlink r:id="rId84" ref="T63"/>
  </hyperlinks>
  <drawing r:id="rId85"/>
  <tableParts count="1">
    <tablePart r:id="rId8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3.88"/>
    <col customWidth="1" min="2" max="2" width="63.25"/>
    <col customWidth="1" min="3" max="3" width="26.38"/>
    <col customWidth="1" min="4" max="4" width="36.5"/>
    <col customWidth="1" min="5" max="5" width="27.88"/>
    <col customWidth="1" min="6" max="6" width="42.38"/>
    <col customWidth="1" min="7" max="7" width="30.0"/>
    <col customWidth="1" min="8" max="8" width="87.38"/>
    <col customWidth="1" min="9" max="10" width="30.88"/>
    <col customWidth="1" min="11" max="11" width="34.13"/>
    <col customWidth="1" min="12" max="12" width="45.0"/>
    <col customWidth="1" min="13" max="13" width="21.38"/>
  </cols>
  <sheetData>
    <row r="1">
      <c r="A1" s="2"/>
      <c r="M1" s="2"/>
    </row>
    <row r="2">
      <c r="M2" s="2"/>
    </row>
    <row r="3">
      <c r="M3" s="2"/>
    </row>
    <row r="4" ht="53.25" customHeight="1">
      <c r="M4" s="2"/>
    </row>
    <row r="5" ht="22.5" customHeight="1">
      <c r="A5" s="21" t="s">
        <v>2</v>
      </c>
      <c r="B5" s="21" t="s">
        <v>4</v>
      </c>
      <c r="C5" s="21" t="s">
        <v>5</v>
      </c>
      <c r="D5" s="21" t="s">
        <v>8</v>
      </c>
      <c r="E5" s="21" t="s">
        <v>9</v>
      </c>
      <c r="F5" s="31" t="s">
        <v>12</v>
      </c>
      <c r="G5" s="21" t="s">
        <v>13</v>
      </c>
      <c r="H5" s="21" t="s">
        <v>62</v>
      </c>
      <c r="I5" s="37" t="s">
        <v>19</v>
      </c>
      <c r="J5" s="37" t="s">
        <v>1516</v>
      </c>
      <c r="K5" s="21" t="s">
        <v>22</v>
      </c>
      <c r="L5" s="21" t="s">
        <v>25</v>
      </c>
      <c r="M5" s="2"/>
    </row>
    <row r="6" ht="22.5" customHeight="1">
      <c r="A6" s="42" t="s">
        <v>1517</v>
      </c>
      <c r="B6" s="42" t="s">
        <v>74</v>
      </c>
      <c r="C6" s="42" t="s">
        <v>77</v>
      </c>
      <c r="D6" s="42" t="s">
        <v>168</v>
      </c>
      <c r="E6" s="45" t="s">
        <v>1519</v>
      </c>
      <c r="F6" s="48" t="s">
        <v>85</v>
      </c>
      <c r="G6" s="50" t="s">
        <v>1520</v>
      </c>
      <c r="H6" s="53"/>
      <c r="I6" s="53"/>
      <c r="J6" s="53"/>
      <c r="K6" s="50" t="s">
        <v>1521</v>
      </c>
      <c r="L6" s="53"/>
      <c r="M6" s="2"/>
    </row>
    <row r="7" ht="22.5" customHeight="1">
      <c r="A7" s="42" t="s">
        <v>1517</v>
      </c>
      <c r="B7" s="42" t="s">
        <v>74</v>
      </c>
      <c r="C7" s="42" t="s">
        <v>77</v>
      </c>
      <c r="D7" s="42" t="s">
        <v>168</v>
      </c>
      <c r="E7" s="45" t="s">
        <v>1523</v>
      </c>
      <c r="F7" s="48" t="s">
        <v>85</v>
      </c>
      <c r="G7" s="50" t="s">
        <v>1520</v>
      </c>
      <c r="H7" s="42"/>
      <c r="I7" s="77"/>
      <c r="J7" s="77"/>
      <c r="K7" s="50" t="s">
        <v>1521</v>
      </c>
      <c r="L7" s="53"/>
      <c r="M7" s="2"/>
    </row>
    <row r="8" ht="22.5" customHeight="1">
      <c r="A8" s="42" t="s">
        <v>1517</v>
      </c>
      <c r="B8" s="42" t="s">
        <v>74</v>
      </c>
      <c r="C8" s="42" t="s">
        <v>77</v>
      </c>
      <c r="D8" s="42" t="s">
        <v>168</v>
      </c>
      <c r="E8" s="45" t="s">
        <v>1527</v>
      </c>
      <c r="F8" s="48" t="s">
        <v>85</v>
      </c>
      <c r="G8" s="50" t="s">
        <v>1520</v>
      </c>
      <c r="H8" s="53"/>
      <c r="I8" s="53"/>
      <c r="J8" s="53"/>
      <c r="K8" s="50" t="s">
        <v>1521</v>
      </c>
      <c r="L8" s="53"/>
      <c r="M8" s="2"/>
    </row>
    <row r="9" ht="22.5" customHeight="1">
      <c r="A9" s="42" t="s">
        <v>1517</v>
      </c>
      <c r="B9" s="42" t="s">
        <v>74</v>
      </c>
      <c r="C9" s="42" t="s">
        <v>77</v>
      </c>
      <c r="D9" s="42" t="s">
        <v>168</v>
      </c>
      <c r="E9" s="45" t="s">
        <v>1531</v>
      </c>
      <c r="F9" s="48" t="s">
        <v>85</v>
      </c>
      <c r="G9" s="50" t="s">
        <v>1520</v>
      </c>
      <c r="H9" s="53"/>
      <c r="I9" s="53"/>
      <c r="J9" s="53"/>
      <c r="K9" s="50" t="s">
        <v>1521</v>
      </c>
      <c r="L9" s="53"/>
      <c r="M9" s="2"/>
    </row>
    <row r="10" ht="22.5" customHeight="1">
      <c r="A10" s="42" t="s">
        <v>1517</v>
      </c>
      <c r="B10" s="42" t="s">
        <v>74</v>
      </c>
      <c r="C10" s="42" t="s">
        <v>77</v>
      </c>
      <c r="D10" s="42" t="s">
        <v>168</v>
      </c>
      <c r="E10" s="45" t="s">
        <v>1534</v>
      </c>
      <c r="F10" s="48" t="s">
        <v>85</v>
      </c>
      <c r="G10" s="50" t="s">
        <v>1520</v>
      </c>
      <c r="H10" s="53"/>
      <c r="I10" s="53"/>
      <c r="J10" s="53"/>
      <c r="K10" s="50" t="s">
        <v>1521</v>
      </c>
      <c r="L10" s="53"/>
      <c r="M10" s="2"/>
    </row>
    <row r="11" ht="22.5" customHeight="1">
      <c r="A11" s="42" t="s">
        <v>1517</v>
      </c>
      <c r="B11" s="42" t="s">
        <v>74</v>
      </c>
      <c r="C11" s="42" t="s">
        <v>77</v>
      </c>
      <c r="D11" s="42" t="s">
        <v>168</v>
      </c>
      <c r="E11" s="45" t="s">
        <v>1536</v>
      </c>
      <c r="F11" s="48" t="s">
        <v>85</v>
      </c>
      <c r="G11" s="50" t="s">
        <v>1520</v>
      </c>
      <c r="H11" s="53"/>
      <c r="I11" s="53"/>
      <c r="J11" s="53"/>
      <c r="K11" s="50" t="s">
        <v>1521</v>
      </c>
      <c r="L11" s="53"/>
      <c r="M11" s="2"/>
    </row>
    <row r="12" ht="22.5" customHeight="1">
      <c r="A12" s="42" t="s">
        <v>1517</v>
      </c>
      <c r="B12" s="42" t="s">
        <v>74</v>
      </c>
      <c r="C12" s="42" t="s">
        <v>77</v>
      </c>
      <c r="D12" s="42" t="s">
        <v>168</v>
      </c>
      <c r="E12" s="45" t="s">
        <v>1539</v>
      </c>
      <c r="F12" s="48" t="s">
        <v>85</v>
      </c>
      <c r="G12" s="50" t="s">
        <v>1520</v>
      </c>
      <c r="H12" s="42"/>
      <c r="I12" s="77"/>
      <c r="J12" s="77"/>
      <c r="K12" s="50" t="s">
        <v>1521</v>
      </c>
      <c r="L12" s="53"/>
      <c r="M12" s="2"/>
    </row>
    <row r="13" ht="22.5" customHeight="1">
      <c r="A13" s="42" t="s">
        <v>1517</v>
      </c>
      <c r="B13" s="42" t="s">
        <v>74</v>
      </c>
      <c r="C13" s="42" t="s">
        <v>77</v>
      </c>
      <c r="D13" s="42" t="s">
        <v>168</v>
      </c>
      <c r="E13" s="45" t="s">
        <v>1540</v>
      </c>
      <c r="F13" s="48" t="s">
        <v>85</v>
      </c>
      <c r="G13" s="50" t="s">
        <v>1520</v>
      </c>
      <c r="H13" s="53"/>
      <c r="I13" s="53"/>
      <c r="J13" s="53"/>
      <c r="K13" s="50" t="s">
        <v>1521</v>
      </c>
      <c r="L13" s="53"/>
      <c r="M13" s="2"/>
    </row>
    <row r="14" ht="22.5" customHeight="1">
      <c r="A14" s="42" t="s">
        <v>1517</v>
      </c>
      <c r="B14" s="42" t="s">
        <v>74</v>
      </c>
      <c r="C14" s="42" t="s">
        <v>77</v>
      </c>
      <c r="D14" s="42" t="s">
        <v>168</v>
      </c>
      <c r="E14" s="45" t="s">
        <v>1543</v>
      </c>
      <c r="F14" s="48" t="s">
        <v>85</v>
      </c>
      <c r="G14" s="50" t="s">
        <v>1520</v>
      </c>
      <c r="H14" s="53"/>
      <c r="I14" s="53"/>
      <c r="J14" s="53"/>
      <c r="K14" s="50" t="s">
        <v>1521</v>
      </c>
      <c r="L14" s="53"/>
      <c r="M14" s="2"/>
    </row>
    <row r="15" ht="22.5" customHeight="1">
      <c r="A15" s="42" t="s">
        <v>1517</v>
      </c>
      <c r="B15" s="42" t="s">
        <v>74</v>
      </c>
      <c r="C15" s="42" t="s">
        <v>77</v>
      </c>
      <c r="D15" s="42" t="s">
        <v>168</v>
      </c>
      <c r="E15" s="45">
        <v>6.04010020104E11</v>
      </c>
      <c r="F15" s="48" t="s">
        <v>85</v>
      </c>
      <c r="G15" s="50" t="s">
        <v>1520</v>
      </c>
      <c r="H15" s="42"/>
      <c r="I15" s="77"/>
      <c r="J15" s="77"/>
      <c r="K15" s="50" t="s">
        <v>1521</v>
      </c>
      <c r="L15" s="53"/>
      <c r="M15" s="2"/>
    </row>
    <row r="16" ht="22.5" customHeight="1">
      <c r="A16" s="42" t="s">
        <v>1517</v>
      </c>
      <c r="B16" s="42" t="s">
        <v>74</v>
      </c>
      <c r="C16" s="42" t="s">
        <v>77</v>
      </c>
      <c r="D16" s="42" t="s">
        <v>168</v>
      </c>
      <c r="E16" s="45">
        <v>6.04010020105E11</v>
      </c>
      <c r="F16" s="48" t="s">
        <v>85</v>
      </c>
      <c r="G16" s="50" t="s">
        <v>1520</v>
      </c>
      <c r="H16" s="42"/>
      <c r="I16" s="77"/>
      <c r="J16" s="77"/>
      <c r="K16" s="50" t="s">
        <v>1521</v>
      </c>
      <c r="L16" s="53"/>
      <c r="M16" s="2"/>
    </row>
    <row r="17" ht="22.5" customHeight="1">
      <c r="A17" s="42" t="s">
        <v>1517</v>
      </c>
      <c r="B17" s="42" t="s">
        <v>74</v>
      </c>
      <c r="C17" s="42" t="s">
        <v>77</v>
      </c>
      <c r="D17" s="42" t="s">
        <v>168</v>
      </c>
      <c r="E17" s="45">
        <v>6.04010020106E11</v>
      </c>
      <c r="F17" s="48" t="s">
        <v>85</v>
      </c>
      <c r="G17" s="50" t="s">
        <v>1520</v>
      </c>
      <c r="H17" s="42"/>
      <c r="I17" s="77"/>
      <c r="J17" s="77"/>
      <c r="K17" s="50" t="s">
        <v>1521</v>
      </c>
      <c r="L17" s="53"/>
      <c r="M17" s="2"/>
    </row>
    <row r="18" ht="22.5" customHeight="1">
      <c r="A18" s="42" t="s">
        <v>1517</v>
      </c>
      <c r="B18" s="42" t="s">
        <v>74</v>
      </c>
      <c r="C18" s="42" t="s">
        <v>77</v>
      </c>
      <c r="D18" s="42" t="s">
        <v>168</v>
      </c>
      <c r="E18" s="45">
        <v>6.04010020107E11</v>
      </c>
      <c r="F18" s="48" t="s">
        <v>85</v>
      </c>
      <c r="G18" s="50" t="s">
        <v>1520</v>
      </c>
      <c r="H18" s="53"/>
      <c r="I18" s="53"/>
      <c r="J18" s="53"/>
      <c r="K18" s="50" t="s">
        <v>1521</v>
      </c>
      <c r="L18" s="53"/>
      <c r="M18" s="2"/>
    </row>
    <row r="19" ht="22.5" customHeight="1">
      <c r="A19" s="42" t="s">
        <v>1517</v>
      </c>
      <c r="B19" s="42" t="s">
        <v>74</v>
      </c>
      <c r="C19" s="42" t="s">
        <v>77</v>
      </c>
      <c r="D19" s="42" t="s">
        <v>168</v>
      </c>
      <c r="E19" s="45">
        <v>6.04010020108E11</v>
      </c>
      <c r="F19" s="48" t="s">
        <v>85</v>
      </c>
      <c r="G19" s="50" t="s">
        <v>1520</v>
      </c>
      <c r="H19" s="42"/>
      <c r="I19" s="77"/>
      <c r="J19" s="77"/>
      <c r="K19" s="50" t="s">
        <v>1521</v>
      </c>
      <c r="L19" s="53"/>
      <c r="M19" s="2"/>
    </row>
    <row r="20">
      <c r="A20" s="2"/>
      <c r="B20" s="2"/>
      <c r="C20" s="2"/>
      <c r="D20" s="2"/>
      <c r="E20" s="2"/>
      <c r="F20" s="139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139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139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139"/>
      <c r="G23" s="2"/>
      <c r="H23" s="2"/>
      <c r="I23" s="2"/>
      <c r="J23" s="2"/>
      <c r="K23" s="2"/>
      <c r="L23" s="2"/>
      <c r="M23" s="2"/>
    </row>
    <row r="24">
      <c r="M24" s="2"/>
    </row>
    <row r="25">
      <c r="M25" s="2"/>
    </row>
    <row r="26">
      <c r="M26" s="2"/>
    </row>
  </sheetData>
  <mergeCells count="1">
    <mergeCell ref="A1:L4"/>
  </mergeCells>
  <dataValidations>
    <dataValidation type="list" allowBlank="1" sqref="G6:G19">
      <formula1>"COM CONTRATO,GARANTIA,SEM CONTRATO,DESAFETAR"</formula1>
    </dataValidation>
    <dataValidation type="list" allowBlank="1" sqref="K6:K19">
      <formula1>"INOPERANTE,DESATIVADO - SAL,FUNCIONANDO,FUNCIONANDO COM PENDÊNCIA,SUCATA"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4" width="31.38"/>
  </cols>
  <sheetData>
    <row r="4" ht="28.5" customHeight="1"/>
    <row r="5" ht="41.25" customHeight="1">
      <c r="A5" s="197" t="s">
        <v>2</v>
      </c>
      <c r="B5" s="198" t="s">
        <v>26</v>
      </c>
      <c r="C5" s="198" t="s">
        <v>1546</v>
      </c>
      <c r="D5" s="199" t="s">
        <v>262</v>
      </c>
      <c r="E5" s="198" t="s">
        <v>1547</v>
      </c>
      <c r="F5" s="199" t="s">
        <v>1548</v>
      </c>
      <c r="G5" s="199" t="s">
        <v>1549</v>
      </c>
      <c r="H5" s="200" t="s">
        <v>1550</v>
      </c>
      <c r="I5" s="200" t="s">
        <v>1551</v>
      </c>
      <c r="J5" s="200" t="s">
        <v>1552</v>
      </c>
      <c r="K5" s="200" t="s">
        <v>1553</v>
      </c>
      <c r="L5" s="200" t="s">
        <v>1554</v>
      </c>
      <c r="M5" s="201" t="s">
        <v>1555</v>
      </c>
      <c r="N5" s="202"/>
    </row>
    <row r="6" ht="33.75" customHeight="1">
      <c r="A6" s="203" t="s">
        <v>29</v>
      </c>
      <c r="B6" s="204" t="s">
        <v>35</v>
      </c>
      <c r="C6" s="204"/>
      <c r="D6" s="204" t="s">
        <v>1556</v>
      </c>
      <c r="E6" s="204" t="s">
        <v>1557</v>
      </c>
      <c r="F6" s="205" t="s">
        <v>1558</v>
      </c>
      <c r="G6" s="206">
        <v>77000.0</v>
      </c>
      <c r="H6" s="207" t="s">
        <v>1559</v>
      </c>
      <c r="I6" s="207" t="s">
        <v>223</v>
      </c>
      <c r="J6" s="208" t="s">
        <v>1560</v>
      </c>
      <c r="K6" s="209">
        <v>77000.0</v>
      </c>
      <c r="L6" s="210" t="s">
        <v>1561</v>
      </c>
      <c r="M6" s="211" t="s">
        <v>1562</v>
      </c>
    </row>
    <row r="7" ht="33.75" customHeight="1">
      <c r="A7" s="203" t="s">
        <v>29</v>
      </c>
      <c r="B7" s="204" t="s">
        <v>35</v>
      </c>
      <c r="C7" s="204"/>
      <c r="D7" s="204" t="s">
        <v>1565</v>
      </c>
      <c r="E7" s="204" t="s">
        <v>1566</v>
      </c>
      <c r="F7" s="205" t="s">
        <v>1567</v>
      </c>
      <c r="G7" s="206">
        <v>91000.0</v>
      </c>
      <c r="H7" s="207" t="s">
        <v>1559</v>
      </c>
      <c r="I7" s="207" t="s">
        <v>223</v>
      </c>
      <c r="J7" s="208" t="s">
        <v>1560</v>
      </c>
      <c r="K7" s="209">
        <v>91000.0</v>
      </c>
      <c r="L7" s="210" t="s">
        <v>1561</v>
      </c>
      <c r="M7" s="211" t="s">
        <v>1562</v>
      </c>
    </row>
    <row r="8" ht="33.75" customHeight="1">
      <c r="A8" s="203" t="s">
        <v>29</v>
      </c>
      <c r="B8" s="204" t="s">
        <v>35</v>
      </c>
      <c r="C8" s="204"/>
      <c r="D8" s="204" t="s">
        <v>809</v>
      </c>
      <c r="E8" s="204" t="s">
        <v>1568</v>
      </c>
      <c r="F8" s="205" t="s">
        <v>1569</v>
      </c>
      <c r="G8" s="206">
        <v>91000.0</v>
      </c>
      <c r="H8" s="207" t="s">
        <v>1559</v>
      </c>
      <c r="I8" s="207" t="s">
        <v>223</v>
      </c>
      <c r="J8" s="208" t="s">
        <v>1570</v>
      </c>
      <c r="K8" s="209">
        <v>91000.0</v>
      </c>
      <c r="L8" s="210" t="s">
        <v>1561</v>
      </c>
      <c r="M8" s="211" t="s">
        <v>1562</v>
      </c>
    </row>
    <row r="9" ht="33.75" customHeight="1">
      <c r="A9" s="203" t="s">
        <v>29</v>
      </c>
      <c r="B9" s="204" t="s">
        <v>35</v>
      </c>
      <c r="C9" s="204"/>
      <c r="D9" s="204" t="s">
        <v>1572</v>
      </c>
      <c r="E9" s="204" t="s">
        <v>1573</v>
      </c>
      <c r="F9" s="205" t="s">
        <v>1574</v>
      </c>
      <c r="G9" s="206">
        <v>91000.0</v>
      </c>
      <c r="H9" s="207" t="s">
        <v>1559</v>
      </c>
      <c r="I9" s="207" t="s">
        <v>223</v>
      </c>
      <c r="J9" s="208" t="s">
        <v>1560</v>
      </c>
      <c r="K9" s="209">
        <v>91000.0</v>
      </c>
      <c r="L9" s="210" t="s">
        <v>1561</v>
      </c>
      <c r="M9" s="211" t="s">
        <v>1562</v>
      </c>
    </row>
    <row r="10" ht="33.75" customHeight="1">
      <c r="A10" s="203" t="s">
        <v>29</v>
      </c>
      <c r="B10" s="204" t="s">
        <v>35</v>
      </c>
      <c r="C10" s="204"/>
      <c r="D10" s="204" t="s">
        <v>1576</v>
      </c>
      <c r="E10" s="204" t="s">
        <v>1577</v>
      </c>
      <c r="F10" s="205" t="s">
        <v>1578</v>
      </c>
      <c r="G10" s="206">
        <v>91000.0</v>
      </c>
      <c r="H10" s="207" t="s">
        <v>1559</v>
      </c>
      <c r="I10" s="207" t="s">
        <v>223</v>
      </c>
      <c r="J10" s="208" t="s">
        <v>1581</v>
      </c>
      <c r="K10" s="209">
        <v>91000.0</v>
      </c>
      <c r="L10" s="210" t="s">
        <v>1583</v>
      </c>
      <c r="M10" s="211" t="s">
        <v>1562</v>
      </c>
    </row>
    <row r="11" ht="33.75" customHeight="1">
      <c r="A11" s="203" t="s">
        <v>29</v>
      </c>
      <c r="B11" s="204" t="s">
        <v>35</v>
      </c>
      <c r="C11" s="204"/>
      <c r="D11" s="204" t="s">
        <v>1584</v>
      </c>
      <c r="E11" s="204" t="s">
        <v>1585</v>
      </c>
      <c r="F11" s="205" t="s">
        <v>1586</v>
      </c>
      <c r="G11" s="206">
        <v>91000.0</v>
      </c>
      <c r="H11" s="207" t="s">
        <v>1559</v>
      </c>
      <c r="I11" s="207" t="s">
        <v>223</v>
      </c>
      <c r="J11" s="208" t="s">
        <v>1590</v>
      </c>
      <c r="K11" s="209">
        <v>91000.0</v>
      </c>
      <c r="L11" s="210" t="s">
        <v>1592</v>
      </c>
      <c r="M11" s="211" t="s">
        <v>1562</v>
      </c>
    </row>
    <row r="12" ht="33.75" customHeight="1">
      <c r="A12" s="218" t="s">
        <v>29</v>
      </c>
      <c r="B12" s="219" t="s">
        <v>35</v>
      </c>
      <c r="C12" s="219"/>
      <c r="D12" s="219" t="s">
        <v>1594</v>
      </c>
      <c r="E12" s="219" t="s">
        <v>1595</v>
      </c>
      <c r="F12" s="220" t="s">
        <v>1596</v>
      </c>
      <c r="G12" s="221">
        <v>91000.0</v>
      </c>
      <c r="H12" s="222" t="s">
        <v>1559</v>
      </c>
      <c r="I12" s="222" t="s">
        <v>1598</v>
      </c>
      <c r="J12" s="223" t="s">
        <v>1600</v>
      </c>
      <c r="K12" s="224">
        <v>91000.0</v>
      </c>
      <c r="L12" s="225" t="s">
        <v>1592</v>
      </c>
      <c r="M12" s="226" t="s">
        <v>1562</v>
      </c>
    </row>
    <row r="13" ht="33.75" customHeight="1">
      <c r="A13" s="227" t="s">
        <v>29</v>
      </c>
      <c r="B13" s="228" t="s">
        <v>35</v>
      </c>
      <c r="C13" s="228"/>
      <c r="D13" s="228" t="s">
        <v>1602</v>
      </c>
      <c r="E13" s="228" t="s">
        <v>1603</v>
      </c>
      <c r="F13" s="229" t="s">
        <v>1605</v>
      </c>
      <c r="G13" s="230">
        <v>9333.0</v>
      </c>
      <c r="H13" s="231" t="s">
        <v>1559</v>
      </c>
      <c r="I13" s="231" t="s">
        <v>1598</v>
      </c>
      <c r="J13" s="232" t="s">
        <v>1606</v>
      </c>
      <c r="K13" s="230">
        <v>9333.0</v>
      </c>
      <c r="L13" s="228" t="s">
        <v>1607</v>
      </c>
      <c r="M13" s="233" t="s">
        <v>1562</v>
      </c>
    </row>
    <row r="14" ht="33.75" customHeight="1">
      <c r="A14" s="234" t="s">
        <v>29</v>
      </c>
      <c r="B14" s="235" t="s">
        <v>35</v>
      </c>
      <c r="C14" s="235"/>
      <c r="D14" s="235" t="s">
        <v>1602</v>
      </c>
      <c r="E14" s="235" t="s">
        <v>1603</v>
      </c>
      <c r="F14" s="236" t="s">
        <v>1605</v>
      </c>
      <c r="G14" s="237">
        <v>68395.1</v>
      </c>
      <c r="H14" s="238" t="s">
        <v>1559</v>
      </c>
      <c r="I14" s="238" t="s">
        <v>223</v>
      </c>
      <c r="J14" s="236" t="s">
        <v>1614</v>
      </c>
      <c r="K14" s="237">
        <v>68395.1</v>
      </c>
      <c r="L14" s="235" t="s">
        <v>1607</v>
      </c>
      <c r="M14" s="239" t="s">
        <v>1562</v>
      </c>
    </row>
    <row r="15" ht="33.75" customHeight="1">
      <c r="A15" s="243" t="s">
        <v>29</v>
      </c>
      <c r="B15" s="244" t="s">
        <v>35</v>
      </c>
      <c r="C15" s="244"/>
      <c r="D15" s="244" t="s">
        <v>1602</v>
      </c>
      <c r="E15" s="244" t="s">
        <v>1603</v>
      </c>
      <c r="F15" s="246" t="s">
        <v>1605</v>
      </c>
      <c r="G15" s="247">
        <v>13271.9</v>
      </c>
      <c r="H15" s="248" t="s">
        <v>1559</v>
      </c>
      <c r="I15" s="248" t="s">
        <v>1593</v>
      </c>
      <c r="J15" s="246" t="s">
        <v>1618</v>
      </c>
      <c r="K15" s="247">
        <v>13271.9</v>
      </c>
      <c r="L15" s="244" t="s">
        <v>1607</v>
      </c>
      <c r="M15" s="249" t="s">
        <v>1562</v>
      </c>
    </row>
    <row r="16" ht="33.75" customHeight="1">
      <c r="A16" s="250" t="s">
        <v>29</v>
      </c>
      <c r="B16" s="251" t="s">
        <v>35</v>
      </c>
      <c r="C16" s="251"/>
      <c r="D16" s="251" t="s">
        <v>1622</v>
      </c>
      <c r="E16" s="251" t="s">
        <v>1623</v>
      </c>
      <c r="F16" s="252" t="s">
        <v>1624</v>
      </c>
      <c r="G16" s="253">
        <v>91000.0</v>
      </c>
      <c r="H16" s="254" t="s">
        <v>1559</v>
      </c>
      <c r="I16" s="254" t="s">
        <v>1598</v>
      </c>
      <c r="J16" s="255" t="s">
        <v>1625</v>
      </c>
      <c r="K16" s="256">
        <v>91000.0</v>
      </c>
      <c r="L16" s="257" t="s">
        <v>1627</v>
      </c>
      <c r="M16" s="258" t="s">
        <v>1562</v>
      </c>
    </row>
    <row r="17" ht="33.75" customHeight="1">
      <c r="A17" s="203" t="s">
        <v>29</v>
      </c>
      <c r="B17" s="204" t="s">
        <v>35</v>
      </c>
      <c r="C17" s="204"/>
      <c r="D17" s="204" t="s">
        <v>1630</v>
      </c>
      <c r="E17" s="204" t="s">
        <v>1631</v>
      </c>
      <c r="F17" s="260" t="s">
        <v>1632</v>
      </c>
      <c r="G17" s="206">
        <v>91000.0</v>
      </c>
      <c r="H17" s="207" t="s">
        <v>1559</v>
      </c>
      <c r="I17" s="207" t="s">
        <v>1598</v>
      </c>
      <c r="J17" s="208" t="s">
        <v>1639</v>
      </c>
      <c r="K17" s="209">
        <v>91000.0</v>
      </c>
      <c r="L17" s="210" t="s">
        <v>1641</v>
      </c>
      <c r="M17" s="211" t="s">
        <v>1562</v>
      </c>
    </row>
    <row r="18" ht="33.75" customHeight="1">
      <c r="A18" s="203" t="s">
        <v>29</v>
      </c>
      <c r="B18" s="204" t="s">
        <v>35</v>
      </c>
      <c r="C18" s="204"/>
      <c r="D18" s="204" t="s">
        <v>1647</v>
      </c>
      <c r="E18" s="204" t="s">
        <v>1648</v>
      </c>
      <c r="F18" s="205" t="s">
        <v>1649</v>
      </c>
      <c r="G18" s="206">
        <v>91000.0</v>
      </c>
      <c r="H18" s="207" t="s">
        <v>1559</v>
      </c>
      <c r="I18" s="207" t="s">
        <v>1598</v>
      </c>
      <c r="J18" s="208" t="s">
        <v>1653</v>
      </c>
      <c r="K18" s="209">
        <v>91000.0</v>
      </c>
      <c r="L18" s="210" t="s">
        <v>1655</v>
      </c>
      <c r="M18" s="211" t="s">
        <v>1562</v>
      </c>
    </row>
    <row r="19" ht="33.75" customHeight="1">
      <c r="A19" s="203" t="s">
        <v>29</v>
      </c>
      <c r="B19" s="204" t="s">
        <v>35</v>
      </c>
      <c r="C19" s="204"/>
      <c r="D19" s="204" t="s">
        <v>1660</v>
      </c>
      <c r="E19" s="204" t="s">
        <v>1661</v>
      </c>
      <c r="F19" s="205" t="s">
        <v>1662</v>
      </c>
      <c r="G19" s="206">
        <v>91000.0</v>
      </c>
      <c r="H19" s="207" t="s">
        <v>1559</v>
      </c>
      <c r="I19" s="207" t="s">
        <v>1598</v>
      </c>
      <c r="J19" s="208" t="s">
        <v>1665</v>
      </c>
      <c r="K19" s="209">
        <v>91000.0</v>
      </c>
      <c r="L19" s="210" t="s">
        <v>1667</v>
      </c>
      <c r="M19" s="211" t="s">
        <v>1562</v>
      </c>
    </row>
    <row r="20" ht="33.75" customHeight="1">
      <c r="A20" s="218" t="s">
        <v>29</v>
      </c>
      <c r="B20" s="219" t="s">
        <v>35</v>
      </c>
      <c r="C20" s="219"/>
      <c r="D20" s="219" t="s">
        <v>1673</v>
      </c>
      <c r="E20" s="219" t="s">
        <v>1674</v>
      </c>
      <c r="F20" s="220" t="s">
        <v>1675</v>
      </c>
      <c r="G20" s="221">
        <v>98000.0</v>
      </c>
      <c r="H20" s="222" t="s">
        <v>1559</v>
      </c>
      <c r="I20" s="222" t="s">
        <v>1598</v>
      </c>
      <c r="J20" s="223" t="s">
        <v>1679</v>
      </c>
      <c r="K20" s="224">
        <v>98000.0</v>
      </c>
      <c r="L20" s="225" t="s">
        <v>1680</v>
      </c>
      <c r="M20" s="226" t="s">
        <v>1562</v>
      </c>
    </row>
    <row r="21" ht="33.75" customHeight="1">
      <c r="A21" s="227" t="s">
        <v>29</v>
      </c>
      <c r="B21" s="228" t="s">
        <v>35</v>
      </c>
      <c r="C21" s="228"/>
      <c r="D21" s="228" t="s">
        <v>1681</v>
      </c>
      <c r="E21" s="228" t="s">
        <v>1682</v>
      </c>
      <c r="F21" s="229" t="s">
        <v>1683</v>
      </c>
      <c r="G21" s="230">
        <v>98000.0</v>
      </c>
      <c r="H21" s="231" t="s">
        <v>1559</v>
      </c>
      <c r="I21" s="231" t="s">
        <v>1598</v>
      </c>
      <c r="J21" s="232" t="s">
        <v>1686</v>
      </c>
      <c r="K21" s="230">
        <v>33000.0</v>
      </c>
      <c r="L21" s="228" t="s">
        <v>1687</v>
      </c>
      <c r="M21" s="233" t="s">
        <v>1562</v>
      </c>
    </row>
    <row r="22" ht="33.75" customHeight="1">
      <c r="A22" s="243" t="s">
        <v>29</v>
      </c>
      <c r="B22" s="244" t="s">
        <v>35</v>
      </c>
      <c r="C22" s="244"/>
      <c r="D22" s="244" t="s">
        <v>1681</v>
      </c>
      <c r="E22" s="244" t="s">
        <v>1682</v>
      </c>
      <c r="F22" s="246" t="s">
        <v>1683</v>
      </c>
      <c r="G22" s="247"/>
      <c r="H22" s="248" t="s">
        <v>1559</v>
      </c>
      <c r="I22" s="248" t="s">
        <v>1598</v>
      </c>
      <c r="J22" s="246" t="s">
        <v>1691</v>
      </c>
      <c r="K22" s="247">
        <v>65000.0</v>
      </c>
      <c r="L22" s="244" t="s">
        <v>1687</v>
      </c>
      <c r="M22" s="249" t="s">
        <v>1562</v>
      </c>
    </row>
    <row r="23" ht="33.75" customHeight="1">
      <c r="A23" s="250" t="s">
        <v>29</v>
      </c>
      <c r="B23" s="251" t="s">
        <v>35</v>
      </c>
      <c r="C23" s="251"/>
      <c r="D23" s="251" t="s">
        <v>1692</v>
      </c>
      <c r="E23" s="251" t="s">
        <v>1693</v>
      </c>
      <c r="F23" s="252" t="s">
        <v>1694</v>
      </c>
      <c r="G23" s="253">
        <v>98000.0</v>
      </c>
      <c r="H23" s="254" t="s">
        <v>1559</v>
      </c>
      <c r="I23" s="254" t="s">
        <v>1593</v>
      </c>
      <c r="J23" s="255" t="s">
        <v>1696</v>
      </c>
      <c r="K23" s="256">
        <v>98000.0</v>
      </c>
      <c r="L23" s="257" t="s">
        <v>1697</v>
      </c>
      <c r="M23" s="258" t="s">
        <v>1562</v>
      </c>
    </row>
    <row r="24" ht="33.75" customHeight="1">
      <c r="A24" s="203" t="s">
        <v>29</v>
      </c>
      <c r="B24" s="204" t="s">
        <v>35</v>
      </c>
      <c r="C24" s="204"/>
      <c r="D24" s="204" t="s">
        <v>1698</v>
      </c>
      <c r="E24" s="204" t="s">
        <v>1699</v>
      </c>
      <c r="F24" s="205" t="s">
        <v>1700</v>
      </c>
      <c r="G24" s="206">
        <v>98000.0</v>
      </c>
      <c r="H24" s="207" t="s">
        <v>1559</v>
      </c>
      <c r="I24" s="207" t="s">
        <v>1593</v>
      </c>
      <c r="J24" s="208" t="s">
        <v>1702</v>
      </c>
      <c r="K24" s="209">
        <v>98000.0</v>
      </c>
      <c r="L24" s="210" t="s">
        <v>1703</v>
      </c>
      <c r="M24" s="211" t="s">
        <v>1562</v>
      </c>
    </row>
    <row r="25" ht="33.75" customHeight="1">
      <c r="A25" s="203" t="s">
        <v>29</v>
      </c>
      <c r="B25" s="204" t="s">
        <v>35</v>
      </c>
      <c r="C25" s="204"/>
      <c r="D25" s="204" t="s">
        <v>1704</v>
      </c>
      <c r="E25" s="204" t="s">
        <v>1705</v>
      </c>
      <c r="F25" s="260" t="s">
        <v>1706</v>
      </c>
      <c r="G25" s="206">
        <v>98000.0</v>
      </c>
      <c r="H25" s="207" t="s">
        <v>1559</v>
      </c>
      <c r="I25" s="207" t="s">
        <v>1593</v>
      </c>
      <c r="J25" s="208" t="s">
        <v>1707</v>
      </c>
      <c r="K25" s="209">
        <v>98000.0</v>
      </c>
      <c r="L25" s="210" t="s">
        <v>1708</v>
      </c>
      <c r="M25" s="211" t="s">
        <v>1562</v>
      </c>
    </row>
    <row r="26" ht="33.75" customHeight="1">
      <c r="A26" s="203" t="s">
        <v>29</v>
      </c>
      <c r="B26" s="204" t="s">
        <v>35</v>
      </c>
      <c r="C26" s="204"/>
      <c r="D26" s="204" t="s">
        <v>1712</v>
      </c>
      <c r="E26" s="204" t="s">
        <v>1713</v>
      </c>
      <c r="F26" s="260" t="s">
        <v>1714</v>
      </c>
      <c r="G26" s="206">
        <v>98000.0</v>
      </c>
      <c r="H26" s="207" t="s">
        <v>1559</v>
      </c>
      <c r="I26" s="207" t="s">
        <v>1593</v>
      </c>
      <c r="J26" s="208" t="s">
        <v>1715</v>
      </c>
      <c r="K26" s="209">
        <v>98000.0</v>
      </c>
      <c r="L26" s="210" t="s">
        <v>1717</v>
      </c>
      <c r="M26" s="211" t="s">
        <v>1562</v>
      </c>
    </row>
    <row r="27" ht="33.75" customHeight="1">
      <c r="A27" s="203" t="s">
        <v>29</v>
      </c>
      <c r="B27" s="204" t="s">
        <v>35</v>
      </c>
      <c r="C27" s="204"/>
      <c r="D27" s="204" t="s">
        <v>1719</v>
      </c>
      <c r="E27" s="204" t="s">
        <v>1720</v>
      </c>
      <c r="F27" s="260" t="s">
        <v>1721</v>
      </c>
      <c r="G27" s="206">
        <v>102468.67</v>
      </c>
      <c r="H27" s="207" t="s">
        <v>1559</v>
      </c>
      <c r="I27" s="207" t="s">
        <v>1593</v>
      </c>
      <c r="J27" s="208" t="s">
        <v>1724</v>
      </c>
      <c r="K27" s="209">
        <v>102468.67</v>
      </c>
      <c r="L27" s="210" t="s">
        <v>1725</v>
      </c>
      <c r="M27" s="211" t="s">
        <v>1562</v>
      </c>
    </row>
    <row r="28" ht="33.75" customHeight="1">
      <c r="A28" s="203" t="s">
        <v>29</v>
      </c>
      <c r="B28" s="204" t="s">
        <v>35</v>
      </c>
      <c r="C28" s="204" t="s">
        <v>1726</v>
      </c>
      <c r="D28" s="204" t="s">
        <v>1729</v>
      </c>
      <c r="E28" s="204" t="s">
        <v>1730</v>
      </c>
      <c r="F28" s="260" t="s">
        <v>1731</v>
      </c>
      <c r="G28" s="206">
        <v>26812.02</v>
      </c>
      <c r="H28" s="279" t="s">
        <v>1559</v>
      </c>
      <c r="I28" s="207" t="s">
        <v>1593</v>
      </c>
      <c r="J28" s="208" t="s">
        <v>1736</v>
      </c>
      <c r="K28" s="206">
        <v>26812.02</v>
      </c>
      <c r="L28" s="210" t="s">
        <v>1738</v>
      </c>
      <c r="M28" s="211" t="s">
        <v>1562</v>
      </c>
    </row>
    <row r="29" ht="33.75" customHeight="1">
      <c r="A29" s="203" t="s">
        <v>29</v>
      </c>
      <c r="B29" s="204" t="s">
        <v>35</v>
      </c>
      <c r="C29" s="204"/>
      <c r="D29" s="204" t="s">
        <v>1741</v>
      </c>
      <c r="E29" s="204" t="s">
        <v>1742</v>
      </c>
      <c r="F29" s="260" t="s">
        <v>1743</v>
      </c>
      <c r="G29" s="206">
        <v>102468.67</v>
      </c>
      <c r="H29" s="207" t="s">
        <v>1559</v>
      </c>
      <c r="I29" s="207" t="s">
        <v>1593</v>
      </c>
      <c r="J29" s="208" t="s">
        <v>1744</v>
      </c>
      <c r="K29" s="209">
        <v>102468.67</v>
      </c>
      <c r="L29" s="210" t="s">
        <v>1745</v>
      </c>
      <c r="M29" s="211" t="s">
        <v>1562</v>
      </c>
    </row>
    <row r="30" ht="33.75" customHeight="1">
      <c r="A30" s="203" t="s">
        <v>29</v>
      </c>
      <c r="B30" s="204" t="s">
        <v>35</v>
      </c>
      <c r="C30" s="204"/>
      <c r="D30" s="204" t="s">
        <v>1746</v>
      </c>
      <c r="E30" s="204" t="s">
        <v>1747</v>
      </c>
      <c r="F30" s="208" t="s">
        <v>1748</v>
      </c>
      <c r="G30" s="206">
        <v>102468.67</v>
      </c>
      <c r="H30" s="207" t="s">
        <v>1559</v>
      </c>
      <c r="I30" s="207" t="s">
        <v>1593</v>
      </c>
      <c r="J30" s="208" t="s">
        <v>1744</v>
      </c>
      <c r="K30" s="209">
        <v>102468.67</v>
      </c>
      <c r="L30" s="210" t="s">
        <v>1745</v>
      </c>
      <c r="M30" s="211" t="s">
        <v>1562</v>
      </c>
    </row>
    <row r="31" ht="33.75" customHeight="1">
      <c r="A31" s="203" t="s">
        <v>29</v>
      </c>
      <c r="B31" s="204" t="s">
        <v>35</v>
      </c>
      <c r="C31" s="204"/>
      <c r="D31" s="204" t="s">
        <v>1755</v>
      </c>
      <c r="E31" s="204" t="s">
        <v>1758</v>
      </c>
      <c r="F31" s="208" t="s">
        <v>1759</v>
      </c>
      <c r="G31" s="206">
        <v>102468.67</v>
      </c>
      <c r="H31" s="207" t="s">
        <v>1559</v>
      </c>
      <c r="I31" s="207" t="s">
        <v>1593</v>
      </c>
      <c r="J31" s="208" t="s">
        <v>1761</v>
      </c>
      <c r="K31" s="209">
        <v>102468.67</v>
      </c>
      <c r="L31" s="210" t="s">
        <v>1762</v>
      </c>
      <c r="M31" s="211" t="s">
        <v>1562</v>
      </c>
      <c r="N31" s="2"/>
    </row>
    <row r="32" ht="33.75" customHeight="1">
      <c r="A32" s="203" t="s">
        <v>29</v>
      </c>
      <c r="B32" s="204" t="s">
        <v>35</v>
      </c>
      <c r="C32" s="204"/>
      <c r="D32" s="204" t="s">
        <v>1767</v>
      </c>
      <c r="E32" s="204" t="s">
        <v>1591</v>
      </c>
      <c r="F32" s="208" t="s">
        <v>1768</v>
      </c>
      <c r="G32" s="206">
        <v>102468.67</v>
      </c>
      <c r="H32" s="207" t="s">
        <v>1559</v>
      </c>
      <c r="I32" s="207" t="s">
        <v>1593</v>
      </c>
      <c r="J32" s="208" t="s">
        <v>1771</v>
      </c>
      <c r="K32" s="206">
        <v>102468.67</v>
      </c>
      <c r="L32" s="210" t="s">
        <v>1772</v>
      </c>
      <c r="M32" s="211" t="s">
        <v>1562</v>
      </c>
      <c r="N32" s="2"/>
    </row>
    <row r="33" ht="33.75" customHeight="1">
      <c r="A33" s="218" t="s">
        <v>29</v>
      </c>
      <c r="B33" s="219" t="s">
        <v>35</v>
      </c>
      <c r="C33" s="219"/>
      <c r="D33" s="219" t="s">
        <v>1778</v>
      </c>
      <c r="E33" s="219" t="s">
        <v>1604</v>
      </c>
      <c r="F33" s="223" t="s">
        <v>1779</v>
      </c>
      <c r="G33" s="206">
        <v>102468.67</v>
      </c>
      <c r="H33" s="222" t="s">
        <v>1559</v>
      </c>
      <c r="I33" s="222" t="s">
        <v>1593</v>
      </c>
      <c r="J33" s="223" t="s">
        <v>1782</v>
      </c>
      <c r="K33" s="206">
        <v>102468.67</v>
      </c>
      <c r="L33" s="225" t="s">
        <v>1783</v>
      </c>
      <c r="M33" s="226" t="s">
        <v>1562</v>
      </c>
    </row>
    <row r="34" ht="33.75" customHeight="1">
      <c r="A34" s="218" t="s">
        <v>29</v>
      </c>
      <c r="B34" s="219" t="s">
        <v>35</v>
      </c>
      <c r="C34" s="219"/>
      <c r="D34" s="219" t="s">
        <v>1784</v>
      </c>
      <c r="E34" s="219" t="s">
        <v>1611</v>
      </c>
      <c r="F34" s="223" t="s">
        <v>1785</v>
      </c>
      <c r="G34" s="206">
        <v>102468.67</v>
      </c>
      <c r="H34" s="222" t="s">
        <v>1559</v>
      </c>
      <c r="I34" s="222" t="s">
        <v>1593</v>
      </c>
      <c r="J34" s="223" t="s">
        <v>1790</v>
      </c>
      <c r="K34" s="206">
        <v>102468.67</v>
      </c>
      <c r="L34" s="225" t="s">
        <v>1791</v>
      </c>
      <c r="M34" s="226" t="s">
        <v>1562</v>
      </c>
      <c r="N34" s="2"/>
    </row>
    <row r="35" ht="33.75" customHeight="1">
      <c r="A35" s="218" t="s">
        <v>29</v>
      </c>
      <c r="B35" s="219" t="s">
        <v>35</v>
      </c>
      <c r="C35" s="219"/>
      <c r="D35" s="219" t="s">
        <v>1795</v>
      </c>
      <c r="E35" s="219" t="s">
        <v>1616</v>
      </c>
      <c r="F35" s="223" t="s">
        <v>1796</v>
      </c>
      <c r="G35" s="206">
        <v>102468.67</v>
      </c>
      <c r="H35" s="222" t="s">
        <v>1559</v>
      </c>
      <c r="I35" s="222" t="s">
        <v>1593</v>
      </c>
      <c r="J35" s="223" t="s">
        <v>1797</v>
      </c>
      <c r="K35" s="206">
        <v>102468.67</v>
      </c>
      <c r="L35" s="225" t="s">
        <v>1798</v>
      </c>
      <c r="M35" s="226" t="s">
        <v>1562</v>
      </c>
      <c r="N35" s="2"/>
    </row>
    <row r="36" ht="33.75" customHeight="1">
      <c r="A36" s="218" t="s">
        <v>29</v>
      </c>
      <c r="B36" s="219" t="s">
        <v>35</v>
      </c>
      <c r="C36" s="219"/>
      <c r="D36" s="219" t="s">
        <v>1804</v>
      </c>
      <c r="E36" s="219" t="s">
        <v>1620</v>
      </c>
      <c r="F36" s="223" t="s">
        <v>1805</v>
      </c>
      <c r="G36" s="206">
        <v>102468.67</v>
      </c>
      <c r="H36" s="222" t="s">
        <v>1559</v>
      </c>
      <c r="I36" s="222" t="s">
        <v>1593</v>
      </c>
      <c r="J36" s="223" t="s">
        <v>1808</v>
      </c>
      <c r="K36" s="206">
        <v>102468.67</v>
      </c>
      <c r="L36" s="225" t="s">
        <v>1809</v>
      </c>
      <c r="M36" s="226" t="s">
        <v>1562</v>
      </c>
      <c r="N36" s="2"/>
    </row>
    <row r="37" ht="33.75" customHeight="1">
      <c r="A37" s="218" t="s">
        <v>29</v>
      </c>
      <c r="B37" s="219" t="s">
        <v>35</v>
      </c>
      <c r="C37" s="299"/>
      <c r="D37" s="219" t="s">
        <v>1811</v>
      </c>
      <c r="E37" s="299" t="s">
        <v>1628</v>
      </c>
      <c r="F37" s="300" t="s">
        <v>1813</v>
      </c>
      <c r="G37" s="206">
        <v>102468.67</v>
      </c>
      <c r="H37" s="301" t="s">
        <v>686</v>
      </c>
      <c r="I37" s="302"/>
      <c r="J37" s="300"/>
      <c r="K37" s="303"/>
      <c r="L37" s="304"/>
      <c r="M37" s="305"/>
    </row>
    <row r="38" ht="33.75" customHeight="1">
      <c r="G38" s="307"/>
      <c r="H38" s="307"/>
      <c r="I38" s="129"/>
      <c r="N38" s="2"/>
    </row>
    <row r="39" ht="22.5" customHeight="1">
      <c r="G39" s="307"/>
      <c r="H39" s="307"/>
      <c r="I39" s="129"/>
    </row>
    <row r="40" ht="22.5" customHeight="1">
      <c r="G40" s="307"/>
      <c r="H40" s="307"/>
      <c r="I40" s="129"/>
    </row>
    <row r="41" ht="22.5" customHeight="1">
      <c r="G41" s="307"/>
      <c r="H41" s="307"/>
      <c r="I41" s="129"/>
    </row>
    <row r="42" ht="22.5" customHeight="1">
      <c r="A42" s="2"/>
      <c r="B42" s="2"/>
      <c r="C42" s="2"/>
      <c r="D42" s="2"/>
      <c r="E42" s="2"/>
      <c r="H42" s="309"/>
      <c r="I42" s="2"/>
      <c r="J42" s="310" t="s">
        <v>1820</v>
      </c>
      <c r="K42" s="315">
        <f>SUM(VMI_02_2024_[VALOR OB])</f>
        <v>2615030.05</v>
      </c>
      <c r="L42" s="2"/>
      <c r="M42" s="2"/>
    </row>
    <row r="43" ht="22.5" customHeight="1">
      <c r="G43" s="307"/>
      <c r="H43" s="307"/>
      <c r="I43" s="129"/>
    </row>
    <row r="44">
      <c r="G44" s="307"/>
      <c r="H44" s="307"/>
      <c r="I44" s="129"/>
    </row>
    <row r="45">
      <c r="G45" s="307"/>
      <c r="H45" s="307"/>
      <c r="I45" s="129"/>
    </row>
    <row r="46">
      <c r="G46" s="307"/>
      <c r="H46" s="307"/>
      <c r="I46" s="129"/>
    </row>
    <row r="47">
      <c r="G47" s="307"/>
      <c r="H47" s="307"/>
      <c r="I47" s="129"/>
    </row>
    <row r="48">
      <c r="A48" s="320"/>
      <c r="B48" s="320"/>
      <c r="C48" s="320"/>
      <c r="D48" s="320"/>
      <c r="E48" s="320"/>
      <c r="F48" s="320"/>
      <c r="G48" s="307"/>
      <c r="H48" s="307"/>
      <c r="I48" s="129"/>
    </row>
    <row r="49" ht="22.5" customHeight="1">
      <c r="A49" s="322" t="s">
        <v>1827</v>
      </c>
      <c r="B49" s="148" t="s">
        <v>1828</v>
      </c>
      <c r="C49" s="320"/>
      <c r="D49" s="323" t="s">
        <v>1829</v>
      </c>
      <c r="E49" s="148" t="s">
        <v>1828</v>
      </c>
      <c r="F49" s="320"/>
      <c r="G49" s="324"/>
      <c r="H49" s="307"/>
      <c r="I49" s="129"/>
    </row>
    <row r="50" ht="22.5" customHeight="1">
      <c r="A50" s="325" t="s">
        <v>223</v>
      </c>
      <c r="B50" s="326">
        <f>SUMIF(G:G, "FUNPEN 2019", D:D)
</f>
        <v>0</v>
      </c>
      <c r="C50" s="320"/>
      <c r="D50" s="327" t="s">
        <v>223</v>
      </c>
      <c r="E50" s="328">
        <v>613666.7</v>
      </c>
      <c r="F50" s="320"/>
      <c r="H50" s="307"/>
      <c r="I50" s="129"/>
    </row>
    <row r="51" ht="22.5" customHeight="1">
      <c r="A51" s="325" t="s">
        <v>1598</v>
      </c>
      <c r="B51" s="328">
        <f>SUMIF(G:G, "FUNPEN 2022", D:D)</f>
        <v>0</v>
      </c>
      <c r="D51" s="327" t="s">
        <v>1598</v>
      </c>
      <c r="E51" s="328">
        <v>705269.46</v>
      </c>
      <c r="F51" s="320"/>
      <c r="H51" s="307"/>
      <c r="I51" s="129"/>
    </row>
    <row r="52" ht="22.5" customHeight="1">
      <c r="A52" s="325" t="s">
        <v>1593</v>
      </c>
      <c r="B52" s="328">
        <f>SUMIF(G:G, "ESTADO", D:D)</f>
        <v>0</v>
      </c>
      <c r="D52" s="320"/>
      <c r="E52" s="320"/>
      <c r="I52" s="129"/>
    </row>
    <row r="53">
      <c r="A53" s="320"/>
      <c r="B53" s="320"/>
      <c r="D53" s="320"/>
      <c r="E53" s="320"/>
      <c r="I53" s="129"/>
    </row>
    <row r="54">
      <c r="A54" s="320"/>
      <c r="B54" s="320"/>
      <c r="D54" s="320"/>
      <c r="E54" s="320"/>
      <c r="I54" s="129"/>
    </row>
    <row r="55" ht="22.5" customHeight="1">
      <c r="A55" s="329" t="s">
        <v>1843</v>
      </c>
      <c r="B55" s="21" t="s">
        <v>1828</v>
      </c>
      <c r="D55" s="323" t="s">
        <v>1844</v>
      </c>
      <c r="E55" s="148" t="s">
        <v>1828</v>
      </c>
      <c r="I55" s="129"/>
    </row>
    <row r="56" ht="22.5" customHeight="1">
      <c r="A56" s="42" t="s">
        <v>223</v>
      </c>
      <c r="B56" s="326">
        <f t="shared" ref="B56:B57" si="1">E50-B50</f>
        <v>613666.7</v>
      </c>
      <c r="D56" s="327" t="s">
        <v>1847</v>
      </c>
      <c r="E56" s="328">
        <v>1176000.0</v>
      </c>
      <c r="I56" s="129"/>
    </row>
    <row r="57" ht="24.75" customHeight="1">
      <c r="A57" s="42" t="s">
        <v>1598</v>
      </c>
      <c r="B57" s="326">
        <f t="shared" si="1"/>
        <v>705269.46</v>
      </c>
      <c r="D57" s="327" t="s">
        <v>1851</v>
      </c>
      <c r="E57" s="328">
        <v>1318936.16</v>
      </c>
      <c r="I57" s="129"/>
    </row>
    <row r="58" ht="24.75" customHeight="1">
      <c r="A58" s="42" t="s">
        <v>1853</v>
      </c>
      <c r="B58" s="326">
        <f>SUM(B56:B57)</f>
        <v>1318936.16</v>
      </c>
      <c r="I58" s="129"/>
    </row>
    <row r="59" ht="24.75" customHeight="1">
      <c r="A59" s="320"/>
      <c r="B59" s="320"/>
      <c r="C59" s="320"/>
      <c r="D59" s="320"/>
      <c r="E59" s="320"/>
      <c r="F59" s="320"/>
      <c r="G59" s="320"/>
      <c r="H59" s="320"/>
      <c r="I59" s="129"/>
    </row>
    <row r="60" ht="24.75" customHeight="1">
      <c r="A60" s="320"/>
      <c r="B60" s="320"/>
      <c r="C60" s="320"/>
      <c r="D60" s="320"/>
      <c r="E60" s="320"/>
      <c r="F60" s="320"/>
      <c r="G60" s="320"/>
      <c r="H60" s="320"/>
      <c r="I60" s="129"/>
    </row>
    <row r="61" ht="24.75" customHeight="1">
      <c r="A61" s="320"/>
      <c r="B61" s="320"/>
      <c r="C61" s="320"/>
      <c r="D61" s="320"/>
      <c r="E61" s="320"/>
      <c r="F61" s="320"/>
      <c r="G61" s="320"/>
      <c r="H61" s="320"/>
      <c r="I61" s="129"/>
    </row>
  </sheetData>
  <mergeCells count="1">
    <mergeCell ref="A1:M4"/>
  </mergeCells>
  <dataValidations>
    <dataValidation type="custom" allowBlank="1" showDropDown="1" sqref="G6:G37 K6:K37 E50:E51 B50:B52 E56:E57 B56:B58">
      <formula1>AND(ISNUMBER(B6),(NOT(OR(NOT(ISERROR(DATEVALUE(B6))), AND(ISNUMBER(B6), LEFT(CELL("format", B6))="D")))))</formula1>
    </dataValidation>
    <dataValidation allowBlank="1" showDropDown="1" sqref="A6:E37 L6:L37"/>
    <dataValidation type="list" allowBlank="1" sqref="H6:H37">
      <formula1>"AUTORIZADO,PENDENTE"</formula1>
    </dataValidation>
    <dataValidation type="list" allowBlank="1" sqref="I6:I37">
      <formula1>"FUNPEN 2019,FUNPEN 2022,ESTADO,N/D"</formula1>
    </dataValidation>
    <dataValidation type="list" allowBlank="1" sqref="M6:M37">
      <formula1>"PAGO,PENDENTE"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  <col customWidth="1" min="2" max="2" width="27.25"/>
    <col customWidth="1" min="3" max="3" width="24.25"/>
    <col customWidth="1" min="4" max="4" width="29.88"/>
    <col customWidth="1" min="5" max="5" width="20.13"/>
    <col customWidth="1" min="6" max="7" width="19.88"/>
    <col customWidth="1" min="8" max="8" width="17.63"/>
    <col customWidth="1" min="9" max="9" width="25.38"/>
    <col customWidth="1" min="10" max="10" width="20.25"/>
    <col customWidth="1" min="11" max="11" width="20.0"/>
    <col customWidth="1" min="12" max="12" width="17.88"/>
    <col customWidth="1" min="13" max="13" width="23.13"/>
    <col customWidth="1" min="14" max="14" width="18.63"/>
  </cols>
  <sheetData>
    <row r="1" ht="22.5" customHeight="1">
      <c r="A1" s="212" t="s">
        <v>2</v>
      </c>
      <c r="B1" s="212" t="s">
        <v>26</v>
      </c>
      <c r="C1" s="212" t="s">
        <v>1579</v>
      </c>
      <c r="D1" s="212" t="s">
        <v>1580</v>
      </c>
      <c r="E1" s="212" t="s">
        <v>1547</v>
      </c>
      <c r="F1" s="212" t="s">
        <v>1548</v>
      </c>
      <c r="G1" s="212" t="s">
        <v>1582</v>
      </c>
      <c r="H1" s="212" t="s">
        <v>1549</v>
      </c>
      <c r="I1" s="212" t="s">
        <v>1550</v>
      </c>
      <c r="J1" s="212" t="s">
        <v>1551</v>
      </c>
      <c r="K1" s="212" t="s">
        <v>1552</v>
      </c>
      <c r="L1" s="212" t="s">
        <v>1553</v>
      </c>
      <c r="M1" s="212" t="s">
        <v>1554</v>
      </c>
      <c r="N1" s="212" t="s">
        <v>1555</v>
      </c>
      <c r="O1" s="89"/>
      <c r="P1" s="89"/>
    </row>
    <row r="2" ht="22.5" customHeight="1">
      <c r="A2" s="213" t="s">
        <v>377</v>
      </c>
      <c r="B2" s="213" t="s">
        <v>1587</v>
      </c>
      <c r="C2" s="214" t="s">
        <v>1588</v>
      </c>
      <c r="D2" s="215" t="s">
        <v>1589</v>
      </c>
      <c r="E2" s="213" t="s">
        <v>1591</v>
      </c>
      <c r="F2" s="213">
        <v>2757.0</v>
      </c>
      <c r="G2" s="216">
        <v>46045.0</v>
      </c>
      <c r="H2" s="217">
        <v>52150.0</v>
      </c>
      <c r="I2" s="215" t="s">
        <v>1559</v>
      </c>
      <c r="J2" s="213" t="s">
        <v>1593</v>
      </c>
      <c r="K2" s="213" t="s">
        <v>1597</v>
      </c>
      <c r="L2" s="217">
        <v>52150.0</v>
      </c>
      <c r="M2" s="216">
        <v>46128.0</v>
      </c>
      <c r="N2" s="215" t="s">
        <v>1562</v>
      </c>
      <c r="O2" s="2"/>
      <c r="P2" s="2"/>
    </row>
    <row r="3" ht="22.5" customHeight="1">
      <c r="A3" s="213" t="s">
        <v>377</v>
      </c>
      <c r="B3" s="213" t="s">
        <v>1587</v>
      </c>
      <c r="C3" s="214" t="s">
        <v>1601</v>
      </c>
      <c r="D3" s="215" t="s">
        <v>1589</v>
      </c>
      <c r="E3" s="214" t="s">
        <v>1604</v>
      </c>
      <c r="F3" s="213">
        <v>2776.0</v>
      </c>
      <c r="G3" s="216">
        <v>46056.0</v>
      </c>
      <c r="H3" s="217">
        <v>52150.0</v>
      </c>
      <c r="I3" s="215" t="s">
        <v>1559</v>
      </c>
      <c r="J3" s="213" t="s">
        <v>1593</v>
      </c>
      <c r="K3" s="213" t="s">
        <v>1608</v>
      </c>
      <c r="L3" s="217">
        <v>52150.0</v>
      </c>
      <c r="M3" s="216">
        <v>46141.0</v>
      </c>
      <c r="N3" s="215" t="s">
        <v>1562</v>
      </c>
      <c r="O3" s="2"/>
      <c r="P3" s="2"/>
    </row>
    <row r="4" ht="22.5" customHeight="1">
      <c r="A4" s="213" t="s">
        <v>377</v>
      </c>
      <c r="B4" s="213" t="s">
        <v>1587</v>
      </c>
      <c r="C4" s="214" t="s">
        <v>1610</v>
      </c>
      <c r="D4" s="215" t="s">
        <v>1589</v>
      </c>
      <c r="E4" s="214" t="s">
        <v>1611</v>
      </c>
      <c r="F4" s="213">
        <v>2817.0</v>
      </c>
      <c r="G4" s="216">
        <v>46087.0</v>
      </c>
      <c r="H4" s="217">
        <v>49000.0</v>
      </c>
      <c r="I4" s="215" t="s">
        <v>1559</v>
      </c>
      <c r="J4" s="213" t="s">
        <v>1593</v>
      </c>
      <c r="K4" s="213" t="s">
        <v>1613</v>
      </c>
      <c r="L4" s="217">
        <v>48412.0</v>
      </c>
      <c r="M4" s="216">
        <v>46213.0</v>
      </c>
      <c r="N4" s="215" t="s">
        <v>1562</v>
      </c>
      <c r="O4" s="2"/>
      <c r="P4" s="2"/>
    </row>
    <row r="5" ht="22.5" customHeight="1">
      <c r="A5" s="213" t="s">
        <v>377</v>
      </c>
      <c r="B5" s="213" t="s">
        <v>1587</v>
      </c>
      <c r="C5" s="214" t="s">
        <v>1615</v>
      </c>
      <c r="D5" s="215" t="s">
        <v>1589</v>
      </c>
      <c r="E5" s="214" t="s">
        <v>1616</v>
      </c>
      <c r="F5" s="213">
        <v>2855.0</v>
      </c>
      <c r="G5" s="216">
        <v>46114.0</v>
      </c>
      <c r="H5" s="217">
        <v>49000.0</v>
      </c>
      <c r="I5" s="215" t="s">
        <v>1559</v>
      </c>
      <c r="J5" s="213" t="s">
        <v>1593</v>
      </c>
      <c r="K5" s="213" t="s">
        <v>1617</v>
      </c>
      <c r="L5" s="217">
        <v>48412.0</v>
      </c>
      <c r="M5" s="216">
        <v>46213.0</v>
      </c>
      <c r="N5" s="215" t="s">
        <v>1562</v>
      </c>
      <c r="O5" s="2"/>
      <c r="P5" s="2"/>
    </row>
    <row r="6" ht="22.5" customHeight="1">
      <c r="A6" s="213" t="s">
        <v>377</v>
      </c>
      <c r="B6" s="213" t="s">
        <v>1587</v>
      </c>
      <c r="C6" s="214" t="s">
        <v>1619</v>
      </c>
      <c r="D6" s="215" t="s">
        <v>1589</v>
      </c>
      <c r="E6" s="214" t="s">
        <v>1620</v>
      </c>
      <c r="F6" s="213">
        <v>2887.0</v>
      </c>
      <c r="G6" s="216">
        <v>46146.0</v>
      </c>
      <c r="H6" s="217">
        <v>49000.0</v>
      </c>
      <c r="I6" s="215" t="s">
        <v>1559</v>
      </c>
      <c r="J6" s="213" t="s">
        <v>1593</v>
      </c>
      <c r="K6" s="213" t="s">
        <v>1621</v>
      </c>
      <c r="L6" s="217">
        <v>48412.0</v>
      </c>
      <c r="M6" s="216">
        <v>46199.0</v>
      </c>
      <c r="N6" s="215" t="s">
        <v>1562</v>
      </c>
      <c r="O6" s="2"/>
      <c r="P6" s="2"/>
    </row>
    <row r="7" ht="22.5" customHeight="1">
      <c r="A7" s="213" t="s">
        <v>377</v>
      </c>
      <c r="B7" s="213" t="s">
        <v>1587</v>
      </c>
      <c r="C7" s="214" t="s">
        <v>1626</v>
      </c>
      <c r="D7" s="215" t="s">
        <v>1589</v>
      </c>
      <c r="E7" s="214" t="s">
        <v>1628</v>
      </c>
      <c r="F7" s="213">
        <v>2918.0</v>
      </c>
      <c r="G7" s="216">
        <v>46176.0</v>
      </c>
      <c r="H7" s="217">
        <v>49000.0</v>
      </c>
      <c r="I7" s="215" t="s">
        <v>1559</v>
      </c>
      <c r="J7" s="213" t="s">
        <v>1593</v>
      </c>
      <c r="K7" s="240"/>
      <c r="L7" s="241"/>
      <c r="M7" s="240"/>
      <c r="N7" s="215" t="s">
        <v>1629</v>
      </c>
      <c r="O7" s="2"/>
      <c r="P7" s="2"/>
    </row>
    <row r="8" ht="22.5" customHeight="1">
      <c r="A8" s="213" t="s">
        <v>377</v>
      </c>
      <c r="B8" s="213" t="s">
        <v>1587</v>
      </c>
      <c r="C8" s="169" t="s">
        <v>1633</v>
      </c>
      <c r="D8" s="215" t="s">
        <v>1589</v>
      </c>
      <c r="E8" s="214" t="s">
        <v>1636</v>
      </c>
      <c r="F8" s="213">
        <v>2958.0</v>
      </c>
      <c r="G8" s="216">
        <v>46218.0</v>
      </c>
      <c r="H8" s="217">
        <v>49000.0</v>
      </c>
      <c r="I8" s="215" t="s">
        <v>686</v>
      </c>
      <c r="J8" s="240"/>
      <c r="K8" s="240"/>
      <c r="L8" s="241"/>
      <c r="M8" s="240"/>
      <c r="N8" s="215"/>
      <c r="O8" s="2"/>
      <c r="P8" s="2"/>
    </row>
    <row r="9" ht="22.5" customHeight="1">
      <c r="A9" s="213" t="s">
        <v>377</v>
      </c>
      <c r="B9" s="213" t="s">
        <v>1587</v>
      </c>
      <c r="C9" s="214"/>
      <c r="D9" s="215" t="s">
        <v>1589</v>
      </c>
      <c r="E9" s="214" t="s">
        <v>1645</v>
      </c>
      <c r="F9" s="213"/>
      <c r="G9" s="217"/>
      <c r="H9" s="217"/>
      <c r="I9" s="242"/>
      <c r="J9" s="240"/>
      <c r="K9" s="240"/>
      <c r="L9" s="241"/>
      <c r="M9" s="240"/>
      <c r="N9" s="215"/>
      <c r="O9" s="2"/>
      <c r="P9" s="2"/>
    </row>
    <row r="10" ht="22.5" customHeight="1">
      <c r="A10" s="213" t="s">
        <v>377</v>
      </c>
      <c r="B10" s="213" t="s">
        <v>1587</v>
      </c>
      <c r="C10" s="214"/>
      <c r="D10" s="215" t="s">
        <v>1589</v>
      </c>
      <c r="E10" s="214" t="s">
        <v>1658</v>
      </c>
      <c r="F10" s="213"/>
      <c r="G10" s="217"/>
      <c r="H10" s="217"/>
      <c r="I10" s="242"/>
      <c r="J10" s="240"/>
      <c r="K10" s="240"/>
      <c r="L10" s="241"/>
      <c r="M10" s="240"/>
      <c r="N10" s="242"/>
      <c r="O10" s="2"/>
      <c r="P10" s="2"/>
    </row>
    <row r="11" ht="22.5" customHeight="1">
      <c r="A11" s="213" t="s">
        <v>377</v>
      </c>
      <c r="B11" s="213" t="s">
        <v>1587</v>
      </c>
      <c r="C11" s="214"/>
      <c r="D11" s="215" t="s">
        <v>1589</v>
      </c>
      <c r="E11" s="214" t="s">
        <v>1672</v>
      </c>
      <c r="F11" s="213"/>
      <c r="G11" s="217"/>
      <c r="H11" s="217"/>
      <c r="I11" s="242"/>
      <c r="J11" s="240"/>
      <c r="K11" s="240"/>
      <c r="L11" s="241"/>
      <c r="M11" s="240"/>
      <c r="N11" s="242"/>
      <c r="O11" s="2"/>
      <c r="P11" s="2"/>
    </row>
    <row r="12" ht="22.5" customHeight="1">
      <c r="A12" s="213" t="s">
        <v>377</v>
      </c>
      <c r="B12" s="213" t="s">
        <v>1587</v>
      </c>
      <c r="C12" s="214"/>
      <c r="D12" s="215" t="s">
        <v>1589</v>
      </c>
      <c r="E12" s="214" t="s">
        <v>1684</v>
      </c>
      <c r="F12" s="213"/>
      <c r="G12" s="217"/>
      <c r="H12" s="217"/>
      <c r="I12" s="242"/>
      <c r="J12" s="240"/>
      <c r="K12" s="240"/>
      <c r="L12" s="241"/>
      <c r="M12" s="240"/>
      <c r="N12" s="242"/>
      <c r="O12" s="2"/>
      <c r="P12" s="2"/>
    </row>
    <row r="13" ht="22.5" customHeight="1">
      <c r="A13" s="213" t="s">
        <v>377</v>
      </c>
      <c r="B13" s="213" t="s">
        <v>1587</v>
      </c>
      <c r="C13" s="214"/>
      <c r="D13" s="215" t="s">
        <v>1589</v>
      </c>
      <c r="E13" s="214" t="s">
        <v>1688</v>
      </c>
      <c r="F13" s="213"/>
      <c r="G13" s="217"/>
      <c r="H13" s="217"/>
      <c r="I13" s="242"/>
      <c r="J13" s="240"/>
      <c r="K13" s="240"/>
      <c r="L13" s="241"/>
      <c r="M13" s="240"/>
      <c r="N13" s="242"/>
      <c r="O13" s="2"/>
      <c r="P13" s="2"/>
    </row>
    <row r="14">
      <c r="A14" s="2"/>
      <c r="B14" s="89"/>
      <c r="C14" s="2"/>
      <c r="D14" s="8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/>
      <c r="B15" s="89"/>
      <c r="C15" s="2"/>
      <c r="D15" s="8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2"/>
      <c r="B16" s="89"/>
      <c r="C16" s="2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/>
      <c r="B17" s="89"/>
      <c r="C17" s="2"/>
      <c r="D17" s="8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/>
      <c r="B18" s="89"/>
      <c r="C18" s="2"/>
      <c r="D18" s="8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dataValidations>
    <dataValidation type="list" allowBlank="1" sqref="D2:D13">
      <formula1>"MANUTENÇÃO"</formula1>
    </dataValidation>
    <dataValidation type="list" allowBlank="1" sqref="N2:N13">
      <formula1>"PAGO,aguardando"</formula1>
    </dataValidation>
    <dataValidation type="custom" allowBlank="1" showDropDown="1" sqref="H2:H13 L2:L13">
      <formula1>AND(ISNUMBER(H2),(NOT(OR(NOT(ISERROR(DATEVALUE(H2))), AND(ISNUMBER(H2), LEFT(CELL("format", H2))="D")))))</formula1>
    </dataValidation>
    <dataValidation allowBlank="1" showDropDown="1" sqref="B2:C13 E2:E13"/>
    <dataValidation type="list" allowBlank="1" sqref="I2:I13">
      <formula1>"AUTORIZADO,PENDENTE"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  <col customWidth="1" min="2" max="2" width="27.25"/>
    <col customWidth="1" min="3" max="3" width="21.13"/>
    <col customWidth="1" min="4" max="4" width="29.88"/>
    <col customWidth="1" min="5" max="6" width="19.88"/>
    <col customWidth="1" min="7" max="7" width="17.63"/>
    <col customWidth="1" min="8" max="8" width="25.38"/>
    <col customWidth="1" min="9" max="9" width="20.25"/>
    <col customWidth="1" min="10" max="10" width="20.0"/>
    <col customWidth="1" min="11" max="11" width="17.88"/>
    <col customWidth="1" min="12" max="12" width="23.13"/>
    <col customWidth="1" min="13" max="13" width="18.63"/>
  </cols>
  <sheetData>
    <row r="1" ht="22.5" customHeight="1">
      <c r="A1" s="212" t="s">
        <v>2</v>
      </c>
      <c r="B1" s="212" t="s">
        <v>26</v>
      </c>
      <c r="C1" s="212" t="s">
        <v>1579</v>
      </c>
      <c r="D1" s="212" t="s">
        <v>1580</v>
      </c>
      <c r="E1" s="212" t="s">
        <v>1547</v>
      </c>
      <c r="F1" s="212" t="s">
        <v>1548</v>
      </c>
      <c r="G1" s="212" t="s">
        <v>1582</v>
      </c>
      <c r="H1" s="212" t="s">
        <v>1549</v>
      </c>
      <c r="I1" s="212" t="s">
        <v>1550</v>
      </c>
      <c r="J1" s="212" t="s">
        <v>1551</v>
      </c>
      <c r="K1" s="212" t="s">
        <v>1552</v>
      </c>
      <c r="L1" s="212" t="s">
        <v>1553</v>
      </c>
      <c r="M1" s="212" t="s">
        <v>1554</v>
      </c>
      <c r="N1" s="212" t="s">
        <v>1555</v>
      </c>
      <c r="O1" s="89"/>
      <c r="P1" s="89"/>
    </row>
    <row r="2" ht="22.5" customHeight="1">
      <c r="A2" s="213" t="s">
        <v>377</v>
      </c>
      <c r="B2" s="213" t="s">
        <v>1587</v>
      </c>
      <c r="C2" s="214" t="s">
        <v>1588</v>
      </c>
      <c r="D2" s="215" t="s">
        <v>1612</v>
      </c>
      <c r="E2" s="213"/>
      <c r="F2" s="213">
        <v>21686.0</v>
      </c>
      <c r="G2" s="216">
        <v>46048.0</v>
      </c>
      <c r="H2" s="217">
        <v>3831.44</v>
      </c>
      <c r="I2" s="215" t="s">
        <v>1559</v>
      </c>
      <c r="J2" s="213" t="s">
        <v>1593</v>
      </c>
      <c r="K2" s="213" t="s">
        <v>1597</v>
      </c>
      <c r="L2" s="217">
        <v>3831.44</v>
      </c>
      <c r="M2" s="216">
        <v>46128.0</v>
      </c>
      <c r="N2" s="215" t="s">
        <v>1562</v>
      </c>
      <c r="O2" s="2"/>
      <c r="P2" s="2"/>
    </row>
    <row r="3" ht="22.5" customHeight="1">
      <c r="A3" s="213" t="s">
        <v>377</v>
      </c>
      <c r="B3" s="213" t="s">
        <v>1587</v>
      </c>
      <c r="C3" s="214" t="s">
        <v>167</v>
      </c>
      <c r="D3" s="215" t="s">
        <v>1612</v>
      </c>
      <c r="E3" s="213"/>
      <c r="F3" s="213">
        <v>22003.0</v>
      </c>
      <c r="G3" s="216">
        <v>46139.0</v>
      </c>
      <c r="H3" s="217">
        <v>42376.84</v>
      </c>
      <c r="I3" s="215" t="s">
        <v>686</v>
      </c>
      <c r="J3" s="240"/>
      <c r="K3" s="240"/>
      <c r="L3" s="241"/>
      <c r="M3" s="240"/>
      <c r="N3" s="242"/>
      <c r="O3" s="2"/>
      <c r="P3" s="2"/>
    </row>
    <row r="4">
      <c r="A4" s="2"/>
      <c r="B4" s="89"/>
      <c r="C4" s="2"/>
      <c r="D4" s="8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89"/>
      <c r="C5" s="2"/>
      <c r="D5" s="8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89"/>
      <c r="C6" s="2"/>
      <c r="D6" s="89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2"/>
      <c r="B7" s="89"/>
      <c r="C7" s="2"/>
      <c r="D7" s="8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89"/>
      <c r="C8" s="2"/>
      <c r="D8" s="8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2"/>
      <c r="B9" s="89"/>
      <c r="C9" s="2"/>
      <c r="D9" s="8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2"/>
      <c r="B10" s="89"/>
      <c r="C10" s="2"/>
      <c r="D10" s="89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2"/>
      <c r="B11" s="89"/>
      <c r="C11" s="2"/>
      <c r="D11" s="8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2"/>
      <c r="B12" s="89"/>
      <c r="C12" s="2"/>
      <c r="D12" s="89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2"/>
      <c r="B13" s="89"/>
      <c r="C13" s="2"/>
      <c r="D13" s="8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/>
      <c r="B14" s="89"/>
      <c r="C14" s="2"/>
      <c r="D14" s="8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/>
      <c r="B15" s="89"/>
      <c r="C15" s="2"/>
      <c r="D15" s="8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</sheetData>
  <dataValidations>
    <dataValidation type="list" allowBlank="1" sqref="D2:D3">
      <formula1>"FORNECIMENTO DE PEÇA"</formula1>
    </dataValidation>
    <dataValidation type="list" allowBlank="1" sqref="N2:N3">
      <formula1>"PAGO,aguardando"</formula1>
    </dataValidation>
    <dataValidation type="custom" allowBlank="1" showDropDown="1" sqref="H2:H3 L2:L3">
      <formula1>AND(ISNUMBER(H2),(NOT(OR(NOT(ISERROR(DATEVALUE(H2))), AND(ISNUMBER(H2), LEFT(CELL("format", H2))="D")))))</formula1>
    </dataValidation>
    <dataValidation allowBlank="1" showDropDown="1" sqref="B2:C3"/>
    <dataValidation type="list" allowBlank="1" sqref="I2:I3">
      <formula1>"AUTORIZADO,PENDENTE"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  <col customWidth="1" min="2" max="2" width="22.0"/>
    <col customWidth="1" min="3" max="3" width="13.5"/>
    <col customWidth="1" min="4" max="4" width="20.25"/>
    <col customWidth="1" min="5" max="5" width="23.63"/>
    <col customWidth="1" min="6" max="7" width="18.88"/>
    <col customWidth="1" min="8" max="8" width="19.88"/>
    <col customWidth="1" min="9" max="9" width="25.75"/>
    <col customWidth="1" min="10" max="10" width="20.25"/>
    <col customWidth="1" min="11" max="11" width="19.63"/>
    <col customWidth="1" min="12" max="12" width="16.5"/>
    <col customWidth="1" min="13" max="13" width="22.63"/>
    <col customWidth="1" min="14" max="14" width="17.38"/>
  </cols>
  <sheetData>
    <row r="5" ht="22.5" customHeight="1">
      <c r="A5" s="42" t="s">
        <v>2</v>
      </c>
      <c r="B5" s="93" t="s">
        <v>26</v>
      </c>
      <c r="C5" s="93" t="s">
        <v>1546</v>
      </c>
      <c r="D5" s="42" t="s">
        <v>262</v>
      </c>
      <c r="E5" s="93" t="s">
        <v>1547</v>
      </c>
      <c r="F5" s="42" t="s">
        <v>1548</v>
      </c>
      <c r="G5" s="93" t="s">
        <v>1582</v>
      </c>
      <c r="H5" s="42" t="s">
        <v>1549</v>
      </c>
      <c r="I5" s="259" t="s">
        <v>1550</v>
      </c>
      <c r="J5" s="259" t="s">
        <v>1551</v>
      </c>
      <c r="K5" s="259" t="s">
        <v>1552</v>
      </c>
      <c r="L5" s="259" t="s">
        <v>1553</v>
      </c>
      <c r="M5" s="259" t="s">
        <v>1554</v>
      </c>
      <c r="N5" s="259" t="s">
        <v>1555</v>
      </c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</row>
    <row r="6" ht="22.5" customHeight="1">
      <c r="A6" s="134" t="s">
        <v>1634</v>
      </c>
      <c r="B6" s="137" t="s">
        <v>1635</v>
      </c>
      <c r="C6" s="148" t="s">
        <v>167</v>
      </c>
      <c r="D6" s="169" t="s">
        <v>1637</v>
      </c>
      <c r="E6" s="169" t="s">
        <v>1591</v>
      </c>
      <c r="F6" s="169" t="s">
        <v>1638</v>
      </c>
      <c r="G6" s="162">
        <v>46044.0</v>
      </c>
      <c r="H6" s="261">
        <v>8100.0</v>
      </c>
      <c r="I6" s="134" t="s">
        <v>1640</v>
      </c>
      <c r="J6" s="137" t="s">
        <v>1593</v>
      </c>
      <c r="K6" s="137" t="s">
        <v>1642</v>
      </c>
      <c r="L6" s="261">
        <v>8100.0</v>
      </c>
      <c r="M6" s="162">
        <v>46098.0</v>
      </c>
      <c r="N6" s="50" t="s">
        <v>1562</v>
      </c>
    </row>
    <row r="7" ht="22.5" customHeight="1">
      <c r="A7" s="134" t="s">
        <v>1634</v>
      </c>
      <c r="B7" s="137" t="s">
        <v>1635</v>
      </c>
      <c r="C7" s="148" t="s">
        <v>167</v>
      </c>
      <c r="D7" s="169" t="s">
        <v>1643</v>
      </c>
      <c r="E7" s="169" t="s">
        <v>1604</v>
      </c>
      <c r="F7" s="169" t="s">
        <v>1644</v>
      </c>
      <c r="G7" s="162">
        <v>46066.0</v>
      </c>
      <c r="H7" s="261">
        <v>27000.0</v>
      </c>
      <c r="I7" s="134" t="s">
        <v>1640</v>
      </c>
      <c r="J7" s="137" t="s">
        <v>1593</v>
      </c>
      <c r="K7" s="137" t="s">
        <v>1646</v>
      </c>
      <c r="L7" s="261">
        <v>27000.0</v>
      </c>
      <c r="M7" s="162">
        <v>46098.0</v>
      </c>
      <c r="N7" s="50" t="s">
        <v>1562</v>
      </c>
    </row>
    <row r="8" ht="22.5" customHeight="1">
      <c r="A8" s="134" t="s">
        <v>1634</v>
      </c>
      <c r="B8" s="137" t="s">
        <v>1635</v>
      </c>
      <c r="C8" s="148" t="s">
        <v>167</v>
      </c>
      <c r="D8" s="169" t="s">
        <v>1650</v>
      </c>
      <c r="E8" s="169" t="s">
        <v>1611</v>
      </c>
      <c r="F8" s="169" t="s">
        <v>1651</v>
      </c>
      <c r="G8" s="162">
        <v>46094.0</v>
      </c>
      <c r="H8" s="261">
        <v>27000.0</v>
      </c>
      <c r="I8" s="134" t="s">
        <v>1640</v>
      </c>
      <c r="J8" s="137" t="s">
        <v>1593</v>
      </c>
      <c r="K8" s="137" t="s">
        <v>1652</v>
      </c>
      <c r="L8" s="261">
        <v>27000.0</v>
      </c>
      <c r="M8" s="162">
        <v>46127.0</v>
      </c>
      <c r="N8" s="50" t="s">
        <v>1562</v>
      </c>
    </row>
    <row r="9" ht="22.5" customHeight="1">
      <c r="A9" s="134" t="s">
        <v>1634</v>
      </c>
      <c r="B9" s="137" t="s">
        <v>1635</v>
      </c>
      <c r="C9" s="148" t="s">
        <v>167</v>
      </c>
      <c r="D9" s="169" t="s">
        <v>1656</v>
      </c>
      <c r="E9" s="169" t="s">
        <v>1616</v>
      </c>
      <c r="F9" s="169" t="s">
        <v>1657</v>
      </c>
      <c r="G9" s="162">
        <v>46127.0</v>
      </c>
      <c r="H9" s="261">
        <v>27000.0</v>
      </c>
      <c r="I9" s="134" t="s">
        <v>1640</v>
      </c>
      <c r="J9" s="137" t="s">
        <v>1593</v>
      </c>
      <c r="K9" s="137" t="s">
        <v>1659</v>
      </c>
      <c r="L9" s="261">
        <v>27000.0</v>
      </c>
      <c r="M9" s="162">
        <v>46155.0</v>
      </c>
      <c r="N9" s="50" t="s">
        <v>1562</v>
      </c>
    </row>
    <row r="10" ht="22.5" customHeight="1">
      <c r="A10" s="134" t="s">
        <v>1634</v>
      </c>
      <c r="B10" s="137" t="s">
        <v>1635</v>
      </c>
      <c r="C10" s="148" t="s">
        <v>167</v>
      </c>
      <c r="D10" s="169" t="s">
        <v>1663</v>
      </c>
      <c r="E10" s="169" t="s">
        <v>1620</v>
      </c>
      <c r="F10" s="169" t="s">
        <v>1664</v>
      </c>
      <c r="G10" s="162">
        <v>46157.0</v>
      </c>
      <c r="H10" s="261">
        <v>27000.0</v>
      </c>
      <c r="I10" s="134" t="s">
        <v>1640</v>
      </c>
      <c r="J10" s="137" t="s">
        <v>1593</v>
      </c>
      <c r="K10" s="137" t="s">
        <v>1666</v>
      </c>
      <c r="L10" s="261">
        <v>27000.0</v>
      </c>
      <c r="M10" s="162">
        <v>46183.0</v>
      </c>
      <c r="N10" s="50" t="s">
        <v>1562</v>
      </c>
    </row>
    <row r="11" ht="22.5" customHeight="1">
      <c r="A11" s="134" t="s">
        <v>1634</v>
      </c>
      <c r="B11" s="137" t="s">
        <v>1635</v>
      </c>
      <c r="C11" s="148" t="s">
        <v>167</v>
      </c>
      <c r="D11" s="169" t="s">
        <v>1668</v>
      </c>
      <c r="E11" s="169" t="s">
        <v>1628</v>
      </c>
      <c r="F11" s="169" t="s">
        <v>1669</v>
      </c>
      <c r="G11" s="162">
        <v>46188.0</v>
      </c>
      <c r="H11" s="261">
        <v>31275.0</v>
      </c>
      <c r="I11" s="134" t="s">
        <v>1640</v>
      </c>
      <c r="J11" s="137" t="s">
        <v>1593</v>
      </c>
      <c r="K11" s="137" t="s">
        <v>1670</v>
      </c>
      <c r="L11" s="261">
        <v>31275.0</v>
      </c>
      <c r="M11" s="162">
        <v>46213.0</v>
      </c>
      <c r="N11" s="50" t="s">
        <v>1562</v>
      </c>
    </row>
    <row r="12" ht="22.5" customHeight="1">
      <c r="A12" s="134" t="s">
        <v>1634</v>
      </c>
      <c r="B12" s="137" t="s">
        <v>1635</v>
      </c>
      <c r="C12" s="148" t="s">
        <v>167</v>
      </c>
      <c r="D12" s="169" t="s">
        <v>1676</v>
      </c>
      <c r="E12" s="169" t="s">
        <v>1636</v>
      </c>
      <c r="F12" s="169" t="s">
        <v>1677</v>
      </c>
      <c r="G12" s="162">
        <v>46218.0</v>
      </c>
      <c r="H12" s="261">
        <v>33750.0</v>
      </c>
      <c r="I12" s="134" t="s">
        <v>1678</v>
      </c>
      <c r="J12" s="263"/>
      <c r="K12" s="163"/>
      <c r="L12" s="264"/>
      <c r="M12" s="163"/>
      <c r="N12" s="135"/>
    </row>
    <row r="13" ht="22.5" customHeight="1">
      <c r="A13" s="134" t="s">
        <v>1634</v>
      </c>
      <c r="B13" s="137" t="s">
        <v>1635</v>
      </c>
      <c r="C13" s="163"/>
      <c r="D13" s="265"/>
      <c r="E13" s="265"/>
      <c r="F13" s="265"/>
      <c r="G13" s="266"/>
      <c r="H13" s="266"/>
      <c r="I13" s="267"/>
      <c r="J13" s="263"/>
      <c r="K13" s="163"/>
      <c r="L13" s="264"/>
      <c r="M13" s="163"/>
      <c r="N13" s="135"/>
    </row>
    <row r="14" ht="22.5" customHeight="1">
      <c r="A14" s="134" t="s">
        <v>1634</v>
      </c>
      <c r="B14" s="137" t="s">
        <v>1635</v>
      </c>
      <c r="C14" s="163"/>
      <c r="D14" s="265"/>
      <c r="E14" s="265"/>
      <c r="F14" s="265"/>
      <c r="G14" s="266"/>
      <c r="H14" s="266"/>
      <c r="I14" s="267"/>
      <c r="J14" s="263"/>
      <c r="K14" s="163"/>
      <c r="L14" s="264"/>
      <c r="M14" s="163"/>
      <c r="N14" s="135"/>
    </row>
    <row r="15" ht="22.5" customHeight="1">
      <c r="A15" s="134" t="s">
        <v>1634</v>
      </c>
      <c r="B15" s="137" t="s">
        <v>1635</v>
      </c>
      <c r="C15" s="163"/>
      <c r="D15" s="265"/>
      <c r="E15" s="265"/>
      <c r="F15" s="265"/>
      <c r="G15" s="266"/>
      <c r="H15" s="266"/>
      <c r="I15" s="267"/>
      <c r="J15" s="263"/>
      <c r="K15" s="163"/>
      <c r="L15" s="264"/>
      <c r="M15" s="163"/>
      <c r="N15" s="135"/>
    </row>
    <row r="16" ht="22.5" customHeight="1">
      <c r="A16" s="134" t="s">
        <v>1634</v>
      </c>
      <c r="B16" s="137" t="s">
        <v>1635</v>
      </c>
      <c r="C16" s="163"/>
      <c r="D16" s="265"/>
      <c r="E16" s="265"/>
      <c r="F16" s="265"/>
      <c r="G16" s="266"/>
      <c r="H16" s="266"/>
      <c r="I16" s="267"/>
      <c r="J16" s="263"/>
      <c r="K16" s="163"/>
      <c r="L16" s="264"/>
      <c r="M16" s="163"/>
      <c r="N16" s="135"/>
    </row>
    <row r="17" ht="22.5" customHeight="1">
      <c r="A17" s="134" t="s">
        <v>1634</v>
      </c>
      <c r="B17" s="137" t="s">
        <v>1635</v>
      </c>
      <c r="C17" s="163"/>
      <c r="D17" s="265"/>
      <c r="E17" s="265"/>
      <c r="F17" s="265"/>
      <c r="G17" s="266"/>
      <c r="H17" s="266"/>
      <c r="I17" s="267"/>
      <c r="J17" s="263"/>
      <c r="K17" s="163"/>
      <c r="L17" s="264"/>
      <c r="M17" s="163"/>
      <c r="N17" s="135"/>
    </row>
    <row r="18" ht="22.5" customHeight="1">
      <c r="A18" s="134" t="s">
        <v>1634</v>
      </c>
      <c r="B18" s="137" t="s">
        <v>1635</v>
      </c>
      <c r="C18" s="163"/>
      <c r="D18" s="265"/>
      <c r="E18" s="265"/>
      <c r="F18" s="265"/>
      <c r="G18" s="266"/>
      <c r="H18" s="266"/>
      <c r="I18" s="267"/>
      <c r="J18" s="263"/>
      <c r="K18" s="163"/>
      <c r="L18" s="264"/>
      <c r="M18" s="163"/>
      <c r="N18" s="135"/>
    </row>
    <row r="19" ht="22.5" customHeight="1">
      <c r="A19" s="134" t="s">
        <v>1634</v>
      </c>
      <c r="B19" s="137" t="s">
        <v>1635</v>
      </c>
      <c r="C19" s="163"/>
      <c r="D19" s="265"/>
      <c r="E19" s="265"/>
      <c r="F19" s="265"/>
      <c r="G19" s="266"/>
      <c r="H19" s="266"/>
      <c r="I19" s="267"/>
      <c r="J19" s="263"/>
      <c r="K19" s="163"/>
      <c r="L19" s="264"/>
      <c r="M19" s="163"/>
      <c r="N19" s="135"/>
    </row>
    <row r="20" ht="22.5" customHeight="1">
      <c r="A20" s="134" t="s">
        <v>1634</v>
      </c>
      <c r="B20" s="137" t="s">
        <v>1635</v>
      </c>
      <c r="C20" s="163"/>
      <c r="D20" s="265"/>
      <c r="E20" s="265"/>
      <c r="F20" s="265"/>
      <c r="G20" s="266"/>
      <c r="H20" s="266"/>
      <c r="I20" s="267"/>
      <c r="J20" s="263"/>
      <c r="K20" s="163"/>
      <c r="L20" s="264"/>
      <c r="M20" s="163"/>
      <c r="N20" s="135"/>
    </row>
    <row r="21" ht="22.5" customHeight="1">
      <c r="A21" s="134" t="s">
        <v>1634</v>
      </c>
      <c r="B21" s="137" t="s">
        <v>1635</v>
      </c>
      <c r="C21" s="163"/>
      <c r="D21" s="265"/>
      <c r="E21" s="265"/>
      <c r="F21" s="265"/>
      <c r="G21" s="266"/>
      <c r="H21" s="266"/>
      <c r="I21" s="267"/>
      <c r="J21" s="263"/>
      <c r="K21" s="163"/>
      <c r="L21" s="264"/>
      <c r="M21" s="163"/>
      <c r="N21" s="135"/>
    </row>
    <row r="22" ht="22.5" customHeight="1">
      <c r="A22" s="134" t="s">
        <v>1634</v>
      </c>
      <c r="B22" s="137" t="s">
        <v>1635</v>
      </c>
      <c r="C22" s="163"/>
      <c r="D22" s="265"/>
      <c r="E22" s="265"/>
      <c r="F22" s="265"/>
      <c r="G22" s="266"/>
      <c r="H22" s="266"/>
      <c r="I22" s="267"/>
      <c r="J22" s="263"/>
      <c r="K22" s="163"/>
      <c r="L22" s="264"/>
      <c r="M22" s="163"/>
      <c r="N22" s="135"/>
    </row>
    <row r="23" ht="22.5" customHeight="1">
      <c r="A23" s="134" t="s">
        <v>1634</v>
      </c>
      <c r="B23" s="137" t="s">
        <v>1635</v>
      </c>
      <c r="C23" s="163"/>
      <c r="D23" s="265"/>
      <c r="E23" s="265"/>
      <c r="F23" s="265"/>
      <c r="G23" s="266"/>
      <c r="H23" s="266"/>
      <c r="I23" s="267"/>
      <c r="J23" s="263"/>
      <c r="K23" s="163"/>
      <c r="L23" s="264"/>
      <c r="M23" s="163"/>
      <c r="N23" s="135"/>
    </row>
    <row r="24" ht="22.5" customHeight="1">
      <c r="A24" s="134" t="s">
        <v>1634</v>
      </c>
      <c r="B24" s="137" t="s">
        <v>1635</v>
      </c>
      <c r="C24" s="163"/>
      <c r="D24" s="265"/>
      <c r="E24" s="265"/>
      <c r="F24" s="265"/>
      <c r="G24" s="266"/>
      <c r="H24" s="266"/>
      <c r="I24" s="267"/>
      <c r="J24" s="263"/>
      <c r="K24" s="163"/>
      <c r="L24" s="264"/>
      <c r="M24" s="163"/>
      <c r="N24" s="135"/>
    </row>
    <row r="25">
      <c r="D25" s="202"/>
      <c r="E25" s="202"/>
      <c r="F25" s="202"/>
      <c r="H25" s="129"/>
      <c r="I25" s="269"/>
      <c r="J25" s="202"/>
      <c r="L25" s="202"/>
      <c r="N25" s="202"/>
    </row>
    <row r="26">
      <c r="D26" s="202"/>
      <c r="E26" s="202"/>
      <c r="F26" s="202"/>
      <c r="H26" s="129"/>
      <c r="I26" s="269"/>
      <c r="J26" s="202"/>
      <c r="L26" s="202"/>
      <c r="N26" s="202"/>
    </row>
    <row r="27">
      <c r="D27" s="202"/>
      <c r="E27" s="202"/>
      <c r="F27" s="202"/>
      <c r="H27" s="129"/>
      <c r="I27" s="269"/>
      <c r="J27" s="202"/>
      <c r="L27" s="202"/>
      <c r="N27" s="202"/>
    </row>
    <row r="28">
      <c r="D28" s="202"/>
      <c r="E28" s="202"/>
      <c r="F28" s="202"/>
      <c r="H28" s="129"/>
      <c r="I28" s="269"/>
      <c r="J28" s="202"/>
      <c r="L28" s="202"/>
      <c r="N28" s="202"/>
    </row>
    <row r="29">
      <c r="D29" s="202"/>
      <c r="E29" s="202"/>
      <c r="F29" s="202"/>
      <c r="H29" s="129"/>
      <c r="I29" s="269"/>
      <c r="J29" s="202"/>
      <c r="L29" s="202"/>
      <c r="N29" s="202"/>
    </row>
    <row r="30">
      <c r="D30" s="202"/>
      <c r="E30" s="202"/>
      <c r="F30" s="202"/>
      <c r="H30" s="129"/>
      <c r="I30" s="269"/>
      <c r="J30" s="202"/>
      <c r="L30" s="202"/>
      <c r="N30" s="202"/>
    </row>
    <row r="31">
      <c r="D31" s="202"/>
      <c r="E31" s="202"/>
      <c r="F31" s="202"/>
      <c r="H31" s="129"/>
      <c r="I31" s="269"/>
      <c r="J31" s="202"/>
      <c r="L31" s="202"/>
      <c r="N31" s="202"/>
    </row>
    <row r="32">
      <c r="D32" s="202"/>
      <c r="E32" s="202"/>
      <c r="F32" s="202"/>
      <c r="H32" s="129"/>
      <c r="I32" s="269"/>
      <c r="J32" s="202"/>
      <c r="L32" s="202"/>
      <c r="N32" s="202"/>
    </row>
  </sheetData>
  <mergeCells count="1">
    <mergeCell ref="A1:N4"/>
  </mergeCells>
  <dataValidations>
    <dataValidation type="list" allowBlank="1" sqref="A6:A24">
      <formula1>"133/2025"</formula1>
    </dataValidation>
    <dataValidation type="list" allowBlank="1" sqref="I6:I24">
      <formula1>"AUTORIZADA,PENDENTE "</formula1>
    </dataValidation>
    <dataValidation type="custom" allowBlank="1" showDropDown="1" sqref="H6:H24 L6:L24">
      <formula1>AND(ISNUMBER(H6),(NOT(OR(NOT(ISERROR(DATEVALUE(H6))), AND(ISNUMBER(H6), LEFT(CELL("format", H6))="D")))))</formula1>
    </dataValidation>
    <dataValidation allowBlank="1" showDropDown="1" sqref="D6:F24"/>
    <dataValidation type="list" allowBlank="1" sqref="N6:N24">
      <formula1>"PAGO,PENDENTE"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2" width="37.13"/>
    <col customWidth="1" min="3" max="3" width="29.13"/>
    <col customWidth="1" min="4" max="4" width="32.13"/>
    <col customWidth="1" min="5" max="5" width="21.13"/>
    <col customWidth="1" min="6" max="6" width="30.13"/>
    <col customWidth="1" min="7" max="7" width="26.13"/>
    <col customWidth="1" min="8" max="8" width="18.0"/>
    <col customWidth="1" min="9" max="9" width="25.0"/>
    <col customWidth="1" min="10" max="10" width="23.25"/>
    <col customWidth="1" min="11" max="11" width="22.38"/>
  </cols>
  <sheetData>
    <row r="1">
      <c r="A1" s="270" t="s">
        <v>1718</v>
      </c>
      <c r="L1" s="271"/>
      <c r="M1" s="271"/>
    </row>
    <row r="2">
      <c r="L2" s="271"/>
      <c r="M2" s="271"/>
    </row>
    <row r="3" ht="47.25" customHeight="1">
      <c r="L3" s="271"/>
      <c r="M3" s="271"/>
    </row>
    <row r="4" ht="55.5" customHeight="1">
      <c r="A4" s="269"/>
      <c r="B4" s="272"/>
      <c r="C4" s="269"/>
      <c r="D4" s="269"/>
      <c r="E4" s="269"/>
      <c r="F4" s="202"/>
      <c r="G4" s="202"/>
      <c r="H4" s="202"/>
      <c r="I4" s="202"/>
      <c r="J4" s="202"/>
      <c r="K4" s="202"/>
      <c r="L4" s="272"/>
      <c r="M4" s="272"/>
    </row>
    <row r="5" ht="55.5" customHeight="1">
      <c r="A5" s="273"/>
      <c r="B5" s="274"/>
      <c r="C5" s="273"/>
      <c r="D5" s="273"/>
      <c r="E5" s="273"/>
      <c r="F5" s="273"/>
      <c r="G5" s="273"/>
      <c r="H5" s="273"/>
      <c r="I5" s="273"/>
      <c r="J5" s="273"/>
      <c r="K5" s="273"/>
      <c r="L5" s="274"/>
      <c r="M5" s="274"/>
    </row>
    <row r="6">
      <c r="A6" s="273"/>
      <c r="B6" s="274"/>
      <c r="C6" s="273"/>
      <c r="D6" s="273"/>
      <c r="E6" s="273"/>
      <c r="F6" s="273"/>
      <c r="G6" s="273"/>
      <c r="H6" s="273"/>
      <c r="I6" s="273"/>
      <c r="J6" s="273"/>
      <c r="K6" s="273"/>
      <c r="L6" s="274"/>
      <c r="M6" s="274"/>
    </row>
    <row r="7" ht="22.5" customHeight="1">
      <c r="A7" s="275" t="s">
        <v>2</v>
      </c>
      <c r="B7" s="275" t="s">
        <v>26</v>
      </c>
      <c r="C7" s="275" t="s">
        <v>262</v>
      </c>
      <c r="D7" s="275" t="s">
        <v>1548</v>
      </c>
      <c r="E7" s="275" t="s">
        <v>1549</v>
      </c>
      <c r="F7" s="275" t="s">
        <v>1727</v>
      </c>
      <c r="G7" s="275" t="s">
        <v>1552</v>
      </c>
      <c r="H7" s="275" t="s">
        <v>1728</v>
      </c>
      <c r="I7" s="275" t="s">
        <v>1554</v>
      </c>
      <c r="J7" s="275" t="s">
        <v>1551</v>
      </c>
      <c r="K7" s="275" t="s">
        <v>1555</v>
      </c>
      <c r="L7" s="276"/>
      <c r="M7" s="276"/>
    </row>
    <row r="8" ht="60.0" customHeight="1">
      <c r="A8" s="277" t="s">
        <v>1732</v>
      </c>
      <c r="B8" s="278" t="s">
        <v>1733</v>
      </c>
      <c r="C8" s="280" t="s">
        <v>1734</v>
      </c>
      <c r="D8" s="277" t="s">
        <v>1735</v>
      </c>
      <c r="E8" s="281">
        <v>157978.16</v>
      </c>
      <c r="F8" s="282" t="s">
        <v>1640</v>
      </c>
      <c r="G8" s="277" t="s">
        <v>1737</v>
      </c>
      <c r="H8" s="277" t="s">
        <v>1739</v>
      </c>
      <c r="I8" s="283">
        <v>46079.0</v>
      </c>
      <c r="J8" s="277" t="s">
        <v>158</v>
      </c>
      <c r="K8" s="282" t="s">
        <v>1562</v>
      </c>
      <c r="L8" s="274"/>
      <c r="M8" s="274"/>
    </row>
    <row r="9" ht="55.5" customHeight="1">
      <c r="A9" s="273"/>
      <c r="B9" s="274"/>
      <c r="C9" s="273"/>
      <c r="D9" s="273"/>
      <c r="E9" s="273"/>
      <c r="F9" s="273"/>
      <c r="G9" s="273"/>
      <c r="H9" s="273"/>
      <c r="I9" s="273"/>
      <c r="J9" s="273"/>
      <c r="K9" s="273"/>
      <c r="L9" s="274"/>
      <c r="M9" s="274"/>
    </row>
    <row r="10">
      <c r="A10" s="284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74"/>
      <c r="M10" s="274"/>
    </row>
    <row r="11" ht="22.5" customHeight="1">
      <c r="A11" s="285" t="s">
        <v>2</v>
      </c>
      <c r="B11" s="285" t="s">
        <v>26</v>
      </c>
      <c r="C11" s="285" t="s">
        <v>262</v>
      </c>
      <c r="D11" s="285" t="s">
        <v>1548</v>
      </c>
      <c r="E11" s="285" t="s">
        <v>1549</v>
      </c>
      <c r="F11" s="285" t="s">
        <v>1727</v>
      </c>
      <c r="G11" s="285" t="s">
        <v>1552</v>
      </c>
      <c r="H11" s="285" t="s">
        <v>1728</v>
      </c>
      <c r="I11" s="285" t="s">
        <v>1554</v>
      </c>
      <c r="J11" s="285" t="s">
        <v>1551</v>
      </c>
      <c r="K11" s="285" t="s">
        <v>1555</v>
      </c>
      <c r="L11" s="276"/>
      <c r="M11" s="276"/>
    </row>
    <row r="12" ht="60.0" customHeight="1">
      <c r="A12" s="277" t="s">
        <v>1749</v>
      </c>
      <c r="B12" s="277" t="s">
        <v>1750</v>
      </c>
      <c r="C12" s="280" t="s">
        <v>1751</v>
      </c>
      <c r="D12" s="277" t="s">
        <v>1752</v>
      </c>
      <c r="E12" s="281">
        <v>100000.0</v>
      </c>
      <c r="F12" s="282" t="s">
        <v>1640</v>
      </c>
      <c r="G12" s="283" t="s">
        <v>1753</v>
      </c>
      <c r="H12" s="281">
        <v>100000.0</v>
      </c>
      <c r="I12" s="283">
        <v>46063.0</v>
      </c>
      <c r="J12" s="283" t="s">
        <v>76</v>
      </c>
      <c r="K12" s="282" t="s">
        <v>1562</v>
      </c>
      <c r="L12" s="274"/>
      <c r="M12" s="274"/>
    </row>
    <row r="13" ht="60.0" customHeight="1">
      <c r="A13" s="277" t="s">
        <v>1749</v>
      </c>
      <c r="B13" s="277" t="s">
        <v>1750</v>
      </c>
      <c r="C13" s="280" t="s">
        <v>1756</v>
      </c>
      <c r="D13" s="277" t="s">
        <v>1757</v>
      </c>
      <c r="E13" s="281">
        <v>187500.0</v>
      </c>
      <c r="F13" s="282" t="s">
        <v>1640</v>
      </c>
      <c r="G13" s="283" t="s">
        <v>1760</v>
      </c>
      <c r="H13" s="281">
        <v>187500.0</v>
      </c>
      <c r="I13" s="283">
        <v>46101.0</v>
      </c>
      <c r="J13" s="283" t="s">
        <v>76</v>
      </c>
      <c r="K13" s="282" t="s">
        <v>1562</v>
      </c>
      <c r="L13" s="274"/>
      <c r="M13" s="274"/>
    </row>
    <row r="14" ht="60.0" customHeight="1">
      <c r="A14" s="277" t="s">
        <v>1749</v>
      </c>
      <c r="B14" s="277" t="s">
        <v>1750</v>
      </c>
      <c r="C14" s="280" t="s">
        <v>1763</v>
      </c>
      <c r="D14" s="277" t="s">
        <v>1764</v>
      </c>
      <c r="E14" s="281">
        <v>187500.0</v>
      </c>
      <c r="F14" s="282" t="s">
        <v>1640</v>
      </c>
      <c r="G14" s="277" t="s">
        <v>1765</v>
      </c>
      <c r="H14" s="286" t="s">
        <v>1766</v>
      </c>
      <c r="I14" s="283">
        <v>46100.0</v>
      </c>
      <c r="J14" s="283" t="s">
        <v>76</v>
      </c>
      <c r="K14" s="282" t="s">
        <v>1562</v>
      </c>
      <c r="L14" s="274"/>
      <c r="M14" s="274"/>
    </row>
    <row r="15" ht="55.5" customHeight="1">
      <c r="A15" s="273"/>
      <c r="B15" s="274"/>
      <c r="C15" s="273"/>
      <c r="D15" s="273"/>
      <c r="E15" s="273"/>
      <c r="F15" s="273"/>
      <c r="G15" s="273"/>
      <c r="H15" s="273"/>
      <c r="I15" s="273"/>
      <c r="J15" s="273"/>
      <c r="K15" s="273"/>
      <c r="L15" s="274"/>
      <c r="M15" s="274"/>
    </row>
    <row r="16">
      <c r="A16" s="284"/>
      <c r="B16" s="284"/>
      <c r="C16" s="284"/>
      <c r="D16" s="284"/>
      <c r="E16" s="284"/>
      <c r="F16" s="284"/>
      <c r="G16" s="284"/>
      <c r="H16" s="284"/>
      <c r="I16" s="284"/>
      <c r="J16" s="284"/>
      <c r="K16" s="284"/>
      <c r="L16" s="274"/>
      <c r="M16" s="274"/>
    </row>
    <row r="17" ht="22.5" customHeight="1">
      <c r="A17" s="275" t="s">
        <v>2</v>
      </c>
      <c r="B17" s="275" t="s">
        <v>26</v>
      </c>
      <c r="C17" s="275" t="s">
        <v>262</v>
      </c>
      <c r="D17" s="275" t="s">
        <v>1548</v>
      </c>
      <c r="E17" s="275" t="s">
        <v>1549</v>
      </c>
      <c r="F17" s="275" t="s">
        <v>1727</v>
      </c>
      <c r="G17" s="275" t="s">
        <v>1552</v>
      </c>
      <c r="H17" s="275" t="s">
        <v>1773</v>
      </c>
      <c r="I17" s="275" t="s">
        <v>1554</v>
      </c>
      <c r="J17" s="275" t="s">
        <v>1551</v>
      </c>
      <c r="K17" s="275" t="s">
        <v>1555</v>
      </c>
      <c r="L17" s="276"/>
      <c r="M17" s="276"/>
    </row>
    <row r="18" ht="60.0" customHeight="1">
      <c r="A18" s="277" t="s">
        <v>1774</v>
      </c>
      <c r="B18" s="277" t="s">
        <v>1775</v>
      </c>
      <c r="C18" s="280" t="s">
        <v>1776</v>
      </c>
      <c r="D18" s="277" t="s">
        <v>1777</v>
      </c>
      <c r="E18" s="281">
        <v>45440.0</v>
      </c>
      <c r="F18" s="282" t="s">
        <v>1640</v>
      </c>
      <c r="G18" s="277" t="s">
        <v>1780</v>
      </c>
      <c r="H18" s="277" t="s">
        <v>1781</v>
      </c>
      <c r="I18" s="283">
        <v>46098.0</v>
      </c>
      <c r="J18" s="288" t="s">
        <v>182</v>
      </c>
      <c r="K18" s="282" t="s">
        <v>1562</v>
      </c>
      <c r="L18" s="274"/>
      <c r="M18" s="274"/>
    </row>
    <row r="19" ht="55.5" customHeight="1">
      <c r="A19" s="273"/>
      <c r="B19" s="274"/>
      <c r="C19" s="273"/>
      <c r="D19" s="273"/>
      <c r="E19" s="273"/>
      <c r="F19" s="273"/>
      <c r="G19" s="273"/>
      <c r="H19" s="273"/>
      <c r="I19" s="273"/>
      <c r="J19" s="273"/>
      <c r="K19" s="273"/>
      <c r="L19" s="274"/>
      <c r="M19" s="274"/>
    </row>
    <row r="20">
      <c r="A20" s="273"/>
      <c r="B20" s="274"/>
      <c r="C20" s="273"/>
      <c r="D20" s="273"/>
      <c r="E20" s="273"/>
      <c r="F20" s="273"/>
      <c r="G20" s="273"/>
      <c r="H20" s="273"/>
      <c r="I20" s="273"/>
      <c r="J20" s="273"/>
      <c r="K20" s="273"/>
      <c r="L20" s="274"/>
      <c r="M20" s="274"/>
    </row>
    <row r="21" ht="22.5" customHeight="1">
      <c r="A21" s="275" t="s">
        <v>2</v>
      </c>
      <c r="B21" s="275" t="s">
        <v>26</v>
      </c>
      <c r="C21" s="275" t="s">
        <v>262</v>
      </c>
      <c r="D21" s="275" t="s">
        <v>1548</v>
      </c>
      <c r="E21" s="275" t="s">
        <v>1549</v>
      </c>
      <c r="F21" s="275" t="s">
        <v>1727</v>
      </c>
      <c r="G21" s="275" t="s">
        <v>1552</v>
      </c>
      <c r="H21" s="275" t="s">
        <v>1773</v>
      </c>
      <c r="I21" s="275" t="s">
        <v>1554</v>
      </c>
      <c r="J21" s="275" t="s">
        <v>1551</v>
      </c>
      <c r="K21" s="275" t="s">
        <v>1555</v>
      </c>
      <c r="L21" s="276"/>
      <c r="M21" s="289"/>
    </row>
    <row r="22" ht="60.0" customHeight="1">
      <c r="A22" s="277" t="s">
        <v>1786</v>
      </c>
      <c r="B22" s="278" t="s">
        <v>1787</v>
      </c>
      <c r="C22" s="280" t="s">
        <v>1788</v>
      </c>
      <c r="D22" s="277" t="s">
        <v>1789</v>
      </c>
      <c r="E22" s="290">
        <v>38200.0</v>
      </c>
      <c r="F22" s="291" t="s">
        <v>1640</v>
      </c>
      <c r="G22" s="292" t="s">
        <v>1792</v>
      </c>
      <c r="H22" s="293" t="s">
        <v>1793</v>
      </c>
      <c r="I22" s="294" t="s">
        <v>1794</v>
      </c>
      <c r="J22" s="288" t="s">
        <v>106</v>
      </c>
      <c r="K22" s="282" t="s">
        <v>1562</v>
      </c>
      <c r="L22" s="274"/>
      <c r="M22" s="273"/>
    </row>
    <row r="23" ht="55.5" customHeight="1">
      <c r="A23" s="273"/>
      <c r="B23" s="274"/>
      <c r="C23" s="273"/>
      <c r="D23" s="273"/>
      <c r="E23" s="273"/>
      <c r="F23" s="273"/>
      <c r="G23" s="273"/>
      <c r="H23" s="273"/>
      <c r="I23" s="273"/>
      <c r="J23" s="273"/>
      <c r="K23" s="273"/>
      <c r="L23" s="274"/>
      <c r="M23" s="274"/>
    </row>
    <row r="24">
      <c r="A24" s="295"/>
      <c r="B24" s="274"/>
      <c r="C24" s="273"/>
      <c r="D24" s="273"/>
      <c r="E24" s="273"/>
      <c r="F24" s="273"/>
      <c r="G24" s="273"/>
      <c r="H24" s="273"/>
      <c r="I24" s="273"/>
      <c r="J24" s="273"/>
      <c r="K24" s="273"/>
      <c r="L24" s="274"/>
      <c r="M24" s="274"/>
    </row>
    <row r="25" ht="22.5" customHeight="1">
      <c r="A25" s="296" t="s">
        <v>2</v>
      </c>
      <c r="B25" s="296" t="s">
        <v>26</v>
      </c>
      <c r="C25" s="296" t="s">
        <v>262</v>
      </c>
      <c r="D25" s="296" t="s">
        <v>1548</v>
      </c>
      <c r="E25" s="296" t="s">
        <v>1549</v>
      </c>
      <c r="F25" s="296" t="s">
        <v>1727</v>
      </c>
      <c r="G25" s="296" t="s">
        <v>1552</v>
      </c>
      <c r="H25" s="296" t="s">
        <v>1773</v>
      </c>
      <c r="I25" s="296" t="s">
        <v>1554</v>
      </c>
      <c r="J25" s="296" t="s">
        <v>1551</v>
      </c>
      <c r="K25" s="296" t="s">
        <v>1555</v>
      </c>
      <c r="L25" s="276"/>
      <c r="M25" s="276"/>
    </row>
    <row r="26" ht="60.0" customHeight="1">
      <c r="A26" s="292" t="s">
        <v>1800</v>
      </c>
      <c r="B26" s="292" t="s">
        <v>1801</v>
      </c>
      <c r="C26" s="294" t="s">
        <v>1802</v>
      </c>
      <c r="D26" s="292" t="s">
        <v>1803</v>
      </c>
      <c r="E26" s="297">
        <v>29768.0</v>
      </c>
      <c r="F26" s="291" t="s">
        <v>1640</v>
      </c>
      <c r="G26" s="292" t="s">
        <v>1806</v>
      </c>
      <c r="H26" s="293" t="s">
        <v>1807</v>
      </c>
      <c r="I26" s="298">
        <v>46009.0</v>
      </c>
      <c r="J26" s="288" t="s">
        <v>53</v>
      </c>
      <c r="K26" s="282" t="s">
        <v>1562</v>
      </c>
      <c r="L26" s="274"/>
      <c r="M26" s="274"/>
    </row>
    <row r="27" ht="60.0" customHeight="1">
      <c r="A27" s="273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4"/>
      <c r="M27" s="274"/>
    </row>
    <row r="28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74"/>
      <c r="M28" s="274"/>
    </row>
    <row r="29" ht="22.5" customHeight="1">
      <c r="A29" s="285" t="s">
        <v>2</v>
      </c>
      <c r="B29" s="285" t="s">
        <v>26</v>
      </c>
      <c r="C29" s="285" t="s">
        <v>262</v>
      </c>
      <c r="D29" s="285" t="s">
        <v>1548</v>
      </c>
      <c r="E29" s="285" t="s">
        <v>1549</v>
      </c>
      <c r="F29" s="275" t="s">
        <v>1727</v>
      </c>
      <c r="G29" s="285" t="s">
        <v>1552</v>
      </c>
      <c r="H29" s="285" t="s">
        <v>1773</v>
      </c>
      <c r="I29" s="285" t="s">
        <v>1554</v>
      </c>
      <c r="J29" s="285" t="s">
        <v>1812</v>
      </c>
      <c r="K29" s="285" t="s">
        <v>1555</v>
      </c>
      <c r="L29" s="276"/>
      <c r="M29" s="276"/>
    </row>
    <row r="30" ht="60.0" customHeight="1">
      <c r="A30" s="277" t="s">
        <v>1814</v>
      </c>
      <c r="B30" s="277" t="s">
        <v>1815</v>
      </c>
      <c r="C30" s="280" t="s">
        <v>1816</v>
      </c>
      <c r="D30" s="277" t="s">
        <v>1817</v>
      </c>
      <c r="E30" s="281">
        <v>3905.0</v>
      </c>
      <c r="F30" s="282" t="s">
        <v>1640</v>
      </c>
      <c r="G30" s="277" t="s">
        <v>1818</v>
      </c>
      <c r="H30" s="277" t="s">
        <v>1819</v>
      </c>
      <c r="I30" s="283">
        <v>46098.0</v>
      </c>
      <c r="J30" s="288" t="s">
        <v>223</v>
      </c>
      <c r="K30" s="282" t="s">
        <v>1562</v>
      </c>
      <c r="L30" s="274"/>
      <c r="M30" s="274"/>
    </row>
    <row r="31" ht="60.0" customHeight="1">
      <c r="A31" s="273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4"/>
      <c r="M31" s="274"/>
    </row>
    <row r="32">
      <c r="A32" s="306"/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274"/>
      <c r="M32" s="274"/>
    </row>
    <row r="33" ht="22.5" customHeight="1">
      <c r="A33" s="308" t="s">
        <v>2</v>
      </c>
      <c r="B33" s="308" t="s">
        <v>26</v>
      </c>
      <c r="C33" s="308" t="s">
        <v>262</v>
      </c>
      <c r="D33" s="308" t="s">
        <v>1548</v>
      </c>
      <c r="E33" s="308" t="s">
        <v>1549</v>
      </c>
      <c r="F33" s="308" t="s">
        <v>1727</v>
      </c>
      <c r="G33" s="308" t="s">
        <v>1552</v>
      </c>
      <c r="H33" s="308" t="s">
        <v>1553</v>
      </c>
      <c r="I33" s="308" t="s">
        <v>1554</v>
      </c>
      <c r="J33" s="308" t="s">
        <v>1551</v>
      </c>
      <c r="K33" s="308" t="s">
        <v>1555</v>
      </c>
      <c r="L33" s="311"/>
      <c r="M33" s="311"/>
    </row>
    <row r="34" ht="60.0" customHeight="1">
      <c r="A34" s="312" t="s">
        <v>1821</v>
      </c>
      <c r="B34" s="312" t="s">
        <v>1822</v>
      </c>
      <c r="C34" s="313" t="s">
        <v>1823</v>
      </c>
      <c r="D34" s="312" t="s">
        <v>1824</v>
      </c>
      <c r="E34" s="314">
        <v>36801.89</v>
      </c>
      <c r="F34" s="291" t="s">
        <v>1640</v>
      </c>
      <c r="G34" s="312" t="s">
        <v>1825</v>
      </c>
      <c r="H34" s="314">
        <v>36801.89</v>
      </c>
      <c r="I34" s="316">
        <v>45992.0</v>
      </c>
      <c r="J34" s="317" t="s">
        <v>223</v>
      </c>
      <c r="K34" s="318" t="s">
        <v>1562</v>
      </c>
      <c r="L34" s="319"/>
      <c r="M34" s="319"/>
    </row>
    <row r="35" ht="60.0" customHeight="1">
      <c r="A35" s="321"/>
      <c r="B35" s="321"/>
      <c r="C35" s="321"/>
      <c r="D35" s="321"/>
      <c r="E35" s="321"/>
      <c r="F35" s="321"/>
      <c r="G35" s="321"/>
      <c r="H35" s="321"/>
      <c r="I35" s="321"/>
      <c r="J35" s="321"/>
      <c r="K35" s="321"/>
      <c r="L35" s="319"/>
      <c r="M35" s="319"/>
    </row>
    <row r="36">
      <c r="A36" s="284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74"/>
      <c r="M36" s="274"/>
    </row>
    <row r="37" ht="22.5" customHeight="1">
      <c r="A37" s="285" t="s">
        <v>2</v>
      </c>
      <c r="B37" s="285" t="s">
        <v>26</v>
      </c>
      <c r="C37" s="285" t="s">
        <v>262</v>
      </c>
      <c r="D37" s="285" t="s">
        <v>1548</v>
      </c>
      <c r="E37" s="285" t="s">
        <v>1549</v>
      </c>
      <c r="F37" s="285" t="s">
        <v>1727</v>
      </c>
      <c r="G37" s="285" t="s">
        <v>1552</v>
      </c>
      <c r="H37" s="285" t="s">
        <v>1553</v>
      </c>
      <c r="I37" s="285" t="s">
        <v>1554</v>
      </c>
      <c r="J37" s="285" t="s">
        <v>1551</v>
      </c>
      <c r="K37" s="285" t="s">
        <v>1555</v>
      </c>
      <c r="L37" s="276"/>
      <c r="M37" s="276"/>
    </row>
    <row r="38" ht="60.0" customHeight="1">
      <c r="A38" s="277" t="s">
        <v>1830</v>
      </c>
      <c r="B38" s="277" t="s">
        <v>1831</v>
      </c>
      <c r="C38" s="280" t="s">
        <v>1832</v>
      </c>
      <c r="D38" s="277" t="s">
        <v>1833</v>
      </c>
      <c r="E38" s="281">
        <v>25590.0</v>
      </c>
      <c r="F38" s="291" t="s">
        <v>1640</v>
      </c>
      <c r="G38" s="277" t="s">
        <v>1834</v>
      </c>
      <c r="H38" s="277" t="s">
        <v>1835</v>
      </c>
      <c r="I38" s="283">
        <v>46087.0</v>
      </c>
      <c r="J38" s="283" t="s">
        <v>245</v>
      </c>
      <c r="K38" s="282" t="s">
        <v>1562</v>
      </c>
      <c r="L38" s="274"/>
      <c r="M38" s="274"/>
    </row>
    <row r="39" ht="60.0" customHeight="1">
      <c r="A39" s="321"/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19"/>
      <c r="M39" s="319"/>
    </row>
    <row r="40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4"/>
      <c r="M40" s="274"/>
    </row>
    <row r="41" ht="22.5" customHeight="1">
      <c r="A41" s="42" t="s">
        <v>2</v>
      </c>
      <c r="B41" s="93" t="s">
        <v>26</v>
      </c>
      <c r="C41" s="42" t="s">
        <v>262</v>
      </c>
      <c r="D41" s="42" t="s">
        <v>1548</v>
      </c>
      <c r="E41" s="42" t="s">
        <v>1549</v>
      </c>
      <c r="F41" s="93" t="s">
        <v>1727</v>
      </c>
      <c r="G41" s="42" t="s">
        <v>1552</v>
      </c>
      <c r="H41" s="93" t="s">
        <v>1553</v>
      </c>
      <c r="I41" s="42" t="s">
        <v>1554</v>
      </c>
      <c r="J41" s="42" t="s">
        <v>1551</v>
      </c>
      <c r="K41" s="259" t="s">
        <v>1555</v>
      </c>
      <c r="L41" s="276"/>
      <c r="M41" s="276"/>
    </row>
    <row r="42" ht="60.0" customHeight="1">
      <c r="A42" s="277" t="s">
        <v>1836</v>
      </c>
      <c r="B42" s="280" t="s">
        <v>1837</v>
      </c>
      <c r="C42" s="280" t="s">
        <v>1746</v>
      </c>
      <c r="D42" s="277" t="s">
        <v>1838</v>
      </c>
      <c r="E42" s="281">
        <v>2208163.2</v>
      </c>
      <c r="F42" s="282" t="s">
        <v>1640</v>
      </c>
      <c r="G42" s="277" t="s">
        <v>1839</v>
      </c>
      <c r="H42" s="281">
        <v>2208163.2</v>
      </c>
      <c r="I42" s="283">
        <v>46002.0</v>
      </c>
      <c r="J42" s="277" t="s">
        <v>1593</v>
      </c>
      <c r="K42" s="282" t="s">
        <v>1562</v>
      </c>
      <c r="L42" s="274"/>
      <c r="M42" s="274"/>
    </row>
    <row r="43" ht="60.0" customHeight="1">
      <c r="A43" s="277" t="s">
        <v>1836</v>
      </c>
      <c r="B43" s="280" t="s">
        <v>1837</v>
      </c>
      <c r="C43" s="280" t="s">
        <v>1840</v>
      </c>
      <c r="D43" s="312" t="s">
        <v>1841</v>
      </c>
      <c r="E43" s="314">
        <v>557592.86</v>
      </c>
      <c r="F43" s="318" t="s">
        <v>1640</v>
      </c>
      <c r="G43" s="312" t="s">
        <v>1842</v>
      </c>
      <c r="H43" s="314">
        <v>557592.86</v>
      </c>
      <c r="I43" s="316">
        <v>46140.0</v>
      </c>
      <c r="J43" s="277" t="s">
        <v>1593</v>
      </c>
      <c r="K43" s="318" t="s">
        <v>1562</v>
      </c>
      <c r="L43" s="274"/>
      <c r="M43" s="274"/>
    </row>
    <row r="44" ht="60.0" customHeight="1">
      <c r="A44" s="321"/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19"/>
      <c r="M44" s="319"/>
    </row>
    <row r="45">
      <c r="A45" s="321"/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19"/>
      <c r="M45" s="319"/>
    </row>
    <row r="46" ht="22.5" customHeight="1">
      <c r="A46" s="308" t="s">
        <v>2</v>
      </c>
      <c r="B46" s="308" t="s">
        <v>26</v>
      </c>
      <c r="C46" s="308" t="s">
        <v>262</v>
      </c>
      <c r="D46" s="308" t="s">
        <v>1548</v>
      </c>
      <c r="E46" s="308" t="s">
        <v>1549</v>
      </c>
      <c r="F46" s="308" t="s">
        <v>1727</v>
      </c>
      <c r="G46" s="308" t="s">
        <v>1552</v>
      </c>
      <c r="H46" s="308" t="s">
        <v>1553</v>
      </c>
      <c r="I46" s="308" t="s">
        <v>1554</v>
      </c>
      <c r="J46" s="308" t="s">
        <v>1551</v>
      </c>
      <c r="K46" s="308" t="s">
        <v>1555</v>
      </c>
      <c r="L46" s="311"/>
      <c r="M46" s="311"/>
    </row>
    <row r="47" ht="60.0" customHeight="1">
      <c r="A47" s="312" t="s">
        <v>1845</v>
      </c>
      <c r="B47" s="312" t="s">
        <v>1846</v>
      </c>
      <c r="C47" s="313" t="s">
        <v>1848</v>
      </c>
      <c r="D47" s="312" t="s">
        <v>1849</v>
      </c>
      <c r="E47" s="314">
        <v>71375.0</v>
      </c>
      <c r="F47" s="282" t="s">
        <v>1640</v>
      </c>
      <c r="G47" s="314" t="s">
        <v>1850</v>
      </c>
      <c r="H47" s="314">
        <v>71375.0</v>
      </c>
      <c r="I47" s="316">
        <v>45994.0</v>
      </c>
      <c r="J47" s="292" t="s">
        <v>106</v>
      </c>
      <c r="K47" s="318" t="s">
        <v>1562</v>
      </c>
      <c r="L47" s="319"/>
      <c r="M47" s="319"/>
    </row>
    <row r="48" ht="60.0" customHeight="1">
      <c r="A48" s="321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19"/>
      <c r="M48" s="319"/>
    </row>
    <row r="49">
      <c r="A49" s="321"/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19"/>
      <c r="M49" s="319"/>
    </row>
    <row r="50" ht="22.5" customHeight="1">
      <c r="A50" s="330" t="s">
        <v>2</v>
      </c>
      <c r="B50" s="331" t="s">
        <v>26</v>
      </c>
      <c r="C50" s="330" t="s">
        <v>262</v>
      </c>
      <c r="D50" s="331" t="s">
        <v>1548</v>
      </c>
      <c r="E50" s="330" t="s">
        <v>1549</v>
      </c>
      <c r="F50" s="308" t="s">
        <v>1727</v>
      </c>
      <c r="G50" s="308" t="s">
        <v>1552</v>
      </c>
      <c r="H50" s="331" t="s">
        <v>1553</v>
      </c>
      <c r="I50" s="330" t="s">
        <v>1554</v>
      </c>
      <c r="J50" s="330" t="s">
        <v>1551</v>
      </c>
      <c r="K50" s="332" t="s">
        <v>1555</v>
      </c>
      <c r="L50" s="333"/>
      <c r="M50" s="333"/>
    </row>
    <row r="51" ht="60.0" customHeight="1">
      <c r="A51" s="312" t="s">
        <v>1854</v>
      </c>
      <c r="B51" s="334" t="s">
        <v>1801</v>
      </c>
      <c r="C51" s="334" t="s">
        <v>1855</v>
      </c>
      <c r="D51" s="312" t="s">
        <v>1856</v>
      </c>
      <c r="E51" s="314">
        <v>49176.0</v>
      </c>
      <c r="F51" s="282" t="s">
        <v>1640</v>
      </c>
      <c r="G51" s="312" t="s">
        <v>1857</v>
      </c>
      <c r="H51" s="314">
        <v>49176.0</v>
      </c>
      <c r="I51" s="316">
        <v>45821.0</v>
      </c>
      <c r="J51" s="312" t="s">
        <v>53</v>
      </c>
      <c r="K51" s="335" t="s">
        <v>1562</v>
      </c>
      <c r="L51" s="319"/>
      <c r="M51" s="319"/>
    </row>
    <row r="52" ht="60.0" customHeight="1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19"/>
      <c r="M52" s="319"/>
    </row>
    <row r="53">
      <c r="A53" s="336"/>
      <c r="B53" s="336"/>
      <c r="C53" s="336"/>
      <c r="D53" s="336"/>
      <c r="E53" s="336"/>
      <c r="F53" s="336"/>
      <c r="G53" s="336"/>
      <c r="H53" s="321"/>
      <c r="I53" s="321"/>
      <c r="J53" s="321"/>
      <c r="K53" s="321"/>
      <c r="L53" s="319"/>
      <c r="M53" s="319"/>
    </row>
    <row r="54" ht="22.5" customHeight="1">
      <c r="A54" s="332" t="s">
        <v>2</v>
      </c>
      <c r="B54" s="332" t="s">
        <v>26</v>
      </c>
      <c r="C54" s="332" t="s">
        <v>262</v>
      </c>
      <c r="D54" s="332" t="s">
        <v>1548</v>
      </c>
      <c r="E54" s="332" t="s">
        <v>1549</v>
      </c>
      <c r="F54" s="332" t="s">
        <v>1727</v>
      </c>
      <c r="G54" s="332" t="s">
        <v>1552</v>
      </c>
      <c r="H54" s="332" t="s">
        <v>1553</v>
      </c>
      <c r="I54" s="332" t="s">
        <v>1554</v>
      </c>
      <c r="J54" s="332" t="s">
        <v>1551</v>
      </c>
      <c r="K54" s="332" t="s">
        <v>1555</v>
      </c>
      <c r="L54" s="333"/>
      <c r="M54" s="333"/>
    </row>
    <row r="55" ht="60.0" customHeight="1">
      <c r="A55" s="337" t="s">
        <v>1858</v>
      </c>
      <c r="B55" s="334" t="s">
        <v>1859</v>
      </c>
      <c r="C55" s="334" t="s">
        <v>1860</v>
      </c>
      <c r="D55" s="337" t="s">
        <v>1861</v>
      </c>
      <c r="E55" s="338">
        <v>75200.0</v>
      </c>
      <c r="F55" s="282" t="s">
        <v>1640</v>
      </c>
      <c r="G55" s="337" t="s">
        <v>1862</v>
      </c>
      <c r="H55" s="338">
        <v>75200.0</v>
      </c>
      <c r="I55" s="339">
        <v>45638.0</v>
      </c>
      <c r="J55" s="340" t="s">
        <v>1593</v>
      </c>
      <c r="K55" s="341" t="s">
        <v>1562</v>
      </c>
      <c r="L55" s="319"/>
      <c r="M55" s="319"/>
    </row>
    <row r="56" ht="60.0" customHeight="1">
      <c r="A56" s="337" t="s">
        <v>1858</v>
      </c>
      <c r="B56" s="334" t="s">
        <v>1859</v>
      </c>
      <c r="C56" s="334" t="s">
        <v>1864</v>
      </c>
      <c r="D56" s="337" t="s">
        <v>1865</v>
      </c>
      <c r="E56" s="338">
        <v>75200.0</v>
      </c>
      <c r="F56" s="282" t="s">
        <v>1640</v>
      </c>
      <c r="G56" s="337" t="s">
        <v>1866</v>
      </c>
      <c r="H56" s="338">
        <v>75200.0</v>
      </c>
      <c r="I56" s="342">
        <v>45687.0</v>
      </c>
      <c r="J56" s="340" t="s">
        <v>1593</v>
      </c>
      <c r="K56" s="341" t="s">
        <v>1562</v>
      </c>
      <c r="L56" s="319"/>
      <c r="M56" s="319"/>
    </row>
    <row r="57" ht="60.0" customHeight="1">
      <c r="A57" s="337" t="s">
        <v>1858</v>
      </c>
      <c r="B57" s="334" t="s">
        <v>1859</v>
      </c>
      <c r="C57" s="334" t="s">
        <v>1867</v>
      </c>
      <c r="D57" s="337" t="s">
        <v>1868</v>
      </c>
      <c r="E57" s="338">
        <v>76600.0</v>
      </c>
      <c r="F57" s="282" t="s">
        <v>1640</v>
      </c>
      <c r="G57" s="337" t="s">
        <v>1869</v>
      </c>
      <c r="H57" s="338">
        <v>76600.0</v>
      </c>
      <c r="I57" s="342">
        <v>45343.0</v>
      </c>
      <c r="J57" s="340" t="s">
        <v>1593</v>
      </c>
      <c r="K57" s="341" t="s">
        <v>1562</v>
      </c>
      <c r="L57" s="319"/>
      <c r="M57" s="319"/>
    </row>
    <row r="58" ht="60.0" customHeight="1">
      <c r="A58" s="337" t="s">
        <v>1858</v>
      </c>
      <c r="B58" s="334" t="s">
        <v>1859</v>
      </c>
      <c r="C58" s="334" t="s">
        <v>1870</v>
      </c>
      <c r="D58" s="337" t="s">
        <v>1871</v>
      </c>
      <c r="E58" s="338">
        <v>75200.0</v>
      </c>
      <c r="F58" s="282" t="s">
        <v>1640</v>
      </c>
      <c r="G58" s="337" t="s">
        <v>1872</v>
      </c>
      <c r="H58" s="338">
        <v>75200.0</v>
      </c>
      <c r="I58" s="342">
        <v>45737.0</v>
      </c>
      <c r="J58" s="340" t="s">
        <v>1593</v>
      </c>
      <c r="K58" s="341" t="s">
        <v>1562</v>
      </c>
      <c r="L58" s="319"/>
      <c r="M58" s="319"/>
    </row>
    <row r="59" ht="60.0" customHeight="1">
      <c r="A59" s="337" t="s">
        <v>1858</v>
      </c>
      <c r="B59" s="334" t="s">
        <v>1859</v>
      </c>
      <c r="C59" s="334" t="s">
        <v>1873</v>
      </c>
      <c r="D59" s="337" t="s">
        <v>1874</v>
      </c>
      <c r="E59" s="343">
        <v>76800.0</v>
      </c>
      <c r="F59" s="282" t="s">
        <v>1640</v>
      </c>
      <c r="G59" s="337" t="s">
        <v>1875</v>
      </c>
      <c r="H59" s="343">
        <v>76800.0</v>
      </c>
      <c r="I59" s="344">
        <v>45821.0</v>
      </c>
      <c r="J59" s="340" t="s">
        <v>1593</v>
      </c>
      <c r="K59" s="335" t="s">
        <v>1562</v>
      </c>
      <c r="L59" s="319"/>
      <c r="M59" s="319"/>
    </row>
    <row r="60" ht="60.0" customHeight="1">
      <c r="A60" s="337" t="s">
        <v>1858</v>
      </c>
      <c r="B60" s="334" t="s">
        <v>1859</v>
      </c>
      <c r="C60" s="334" t="s">
        <v>1876</v>
      </c>
      <c r="D60" s="337" t="s">
        <v>1877</v>
      </c>
      <c r="E60" s="343">
        <v>80000.0</v>
      </c>
      <c r="F60" s="282" t="s">
        <v>1640</v>
      </c>
      <c r="G60" s="337" t="s">
        <v>1878</v>
      </c>
      <c r="H60" s="343">
        <v>80000.0</v>
      </c>
      <c r="I60" s="344">
        <v>45905.0</v>
      </c>
      <c r="J60" s="340" t="s">
        <v>1593</v>
      </c>
      <c r="K60" s="335" t="s">
        <v>1562</v>
      </c>
      <c r="L60" s="319"/>
      <c r="M60" s="319"/>
    </row>
    <row r="61" ht="60.0" customHeight="1">
      <c r="A61" s="337" t="s">
        <v>1858</v>
      </c>
      <c r="B61" s="334" t="s">
        <v>1859</v>
      </c>
      <c r="C61" s="334" t="s">
        <v>1879</v>
      </c>
      <c r="D61" s="337" t="s">
        <v>1880</v>
      </c>
      <c r="E61" s="343">
        <v>29000.0</v>
      </c>
      <c r="F61" s="282" t="s">
        <v>1640</v>
      </c>
      <c r="G61" s="337" t="s">
        <v>1881</v>
      </c>
      <c r="H61" s="343">
        <v>29000.0</v>
      </c>
      <c r="I61" s="345">
        <v>45944.0</v>
      </c>
      <c r="J61" s="340" t="s">
        <v>1593</v>
      </c>
      <c r="K61" s="335" t="s">
        <v>1562</v>
      </c>
      <c r="L61" s="319"/>
      <c r="M61" s="319"/>
    </row>
    <row r="62" ht="60.0" customHeight="1">
      <c r="A62" s="346"/>
      <c r="B62" s="346"/>
      <c r="C62" s="346"/>
      <c r="D62" s="346"/>
      <c r="E62" s="346"/>
      <c r="F62" s="346"/>
      <c r="G62" s="347"/>
      <c r="H62" s="319"/>
      <c r="I62" s="321"/>
      <c r="J62" s="321"/>
      <c r="K62" s="321"/>
      <c r="L62" s="319"/>
      <c r="M62" s="319"/>
    </row>
    <row r="63">
      <c r="A63" s="348"/>
      <c r="B63" s="348"/>
      <c r="C63" s="348"/>
      <c r="D63" s="348"/>
      <c r="E63" s="348"/>
      <c r="F63" s="348"/>
      <c r="G63" s="321"/>
      <c r="H63" s="321"/>
      <c r="I63" s="321"/>
      <c r="J63" s="321"/>
      <c r="K63" s="321"/>
      <c r="L63" s="319"/>
      <c r="M63" s="319"/>
    </row>
    <row r="64" ht="22.5" customHeight="1">
      <c r="A64" s="349" t="s">
        <v>2</v>
      </c>
      <c r="B64" s="350" t="s">
        <v>26</v>
      </c>
      <c r="C64" s="349" t="s">
        <v>262</v>
      </c>
      <c r="D64" s="349" t="s">
        <v>1548</v>
      </c>
      <c r="E64" s="349" t="s">
        <v>1549</v>
      </c>
      <c r="F64" s="350" t="s">
        <v>1727</v>
      </c>
      <c r="G64" s="349" t="s">
        <v>1552</v>
      </c>
      <c r="H64" s="350" t="s">
        <v>1553</v>
      </c>
      <c r="I64" s="350" t="s">
        <v>1554</v>
      </c>
      <c r="J64" s="349" t="s">
        <v>1551</v>
      </c>
      <c r="K64" s="332" t="s">
        <v>1555</v>
      </c>
      <c r="L64" s="333"/>
      <c r="M64" s="333"/>
    </row>
    <row r="65" ht="60.0" customHeight="1">
      <c r="A65" s="337" t="s">
        <v>1884</v>
      </c>
      <c r="B65" s="334" t="s">
        <v>1885</v>
      </c>
      <c r="C65" s="334" t="s">
        <v>1886</v>
      </c>
      <c r="D65" s="337" t="s">
        <v>1887</v>
      </c>
      <c r="E65" s="343">
        <v>591456.0</v>
      </c>
      <c r="F65" s="335" t="s">
        <v>1640</v>
      </c>
      <c r="G65" s="337" t="s">
        <v>1888</v>
      </c>
      <c r="H65" s="343">
        <v>591456.0</v>
      </c>
      <c r="I65" s="345">
        <v>45623.0</v>
      </c>
      <c r="J65" s="337" t="s">
        <v>312</v>
      </c>
      <c r="K65" s="335" t="s">
        <v>1562</v>
      </c>
      <c r="L65" s="319"/>
      <c r="M65" s="319"/>
    </row>
    <row r="66" ht="60.0" customHeight="1">
      <c r="A66" s="337" t="s">
        <v>1884</v>
      </c>
      <c r="B66" s="334" t="s">
        <v>1885</v>
      </c>
      <c r="C66" s="334" t="s">
        <v>1889</v>
      </c>
      <c r="D66" s="337" t="s">
        <v>1890</v>
      </c>
      <c r="E66" s="343">
        <v>4620.74</v>
      </c>
      <c r="F66" s="335" t="s">
        <v>1640</v>
      </c>
      <c r="G66" s="337" t="s">
        <v>1891</v>
      </c>
      <c r="H66" s="343">
        <v>4620.74</v>
      </c>
      <c r="I66" s="344">
        <v>45868.0</v>
      </c>
      <c r="J66" s="337" t="s">
        <v>1893</v>
      </c>
      <c r="K66" s="335" t="s">
        <v>1562</v>
      </c>
      <c r="L66" s="319"/>
      <c r="M66" s="319"/>
    </row>
    <row r="67" ht="60.0" customHeight="1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19"/>
      <c r="M67" s="319"/>
    </row>
    <row r="68">
      <c r="A68" s="348"/>
      <c r="B68" s="348"/>
      <c r="C68" s="348"/>
      <c r="D68" s="348"/>
      <c r="E68" s="348"/>
      <c r="F68" s="348"/>
      <c r="G68" s="321"/>
      <c r="H68" s="321"/>
      <c r="I68" s="321"/>
      <c r="J68" s="321"/>
      <c r="K68" s="321"/>
      <c r="L68" s="319"/>
      <c r="M68" s="319"/>
    </row>
    <row r="69" ht="22.5" customHeight="1">
      <c r="A69" s="349" t="s">
        <v>2</v>
      </c>
      <c r="B69" s="350" t="s">
        <v>26</v>
      </c>
      <c r="C69" s="349" t="s">
        <v>262</v>
      </c>
      <c r="D69" s="349" t="s">
        <v>1548</v>
      </c>
      <c r="E69" s="349" t="s">
        <v>1549</v>
      </c>
      <c r="F69" s="350" t="s">
        <v>1727</v>
      </c>
      <c r="G69" s="349" t="s">
        <v>1552</v>
      </c>
      <c r="H69" s="350" t="s">
        <v>1553</v>
      </c>
      <c r="I69" s="349" t="s">
        <v>1554</v>
      </c>
      <c r="J69" s="349" t="s">
        <v>1551</v>
      </c>
      <c r="K69" s="332" t="s">
        <v>1555</v>
      </c>
      <c r="L69" s="333"/>
      <c r="M69" s="333"/>
    </row>
    <row r="70" ht="60.0" customHeight="1">
      <c r="A70" s="337" t="s">
        <v>1894</v>
      </c>
      <c r="B70" s="334" t="s">
        <v>1895</v>
      </c>
      <c r="C70" s="334" t="s">
        <v>1896</v>
      </c>
      <c r="D70" s="337" t="s">
        <v>1897</v>
      </c>
      <c r="E70" s="343">
        <v>290169.81</v>
      </c>
      <c r="F70" s="282" t="s">
        <v>1640</v>
      </c>
      <c r="G70" s="337" t="s">
        <v>1898</v>
      </c>
      <c r="H70" s="343">
        <v>290169.81</v>
      </c>
      <c r="I70" s="344">
        <v>45846.0</v>
      </c>
      <c r="J70" s="337" t="s">
        <v>325</v>
      </c>
      <c r="K70" s="335" t="s">
        <v>1562</v>
      </c>
      <c r="L70" s="319"/>
      <c r="M70" s="319"/>
    </row>
    <row r="71" ht="60.0" customHeight="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2"/>
      <c r="M71" s="352"/>
    </row>
    <row r="72">
      <c r="A72" s="269"/>
      <c r="B72" s="269"/>
      <c r="C72" s="269"/>
      <c r="D72" s="269"/>
      <c r="E72" s="269"/>
      <c r="F72" s="202"/>
      <c r="G72" s="202"/>
      <c r="H72" s="202"/>
      <c r="I72" s="202"/>
      <c r="J72" s="202"/>
      <c r="K72" s="202"/>
      <c r="L72" s="271"/>
      <c r="M72" s="271"/>
    </row>
    <row r="73">
      <c r="A73" s="269"/>
      <c r="B73" s="269"/>
      <c r="C73" s="269"/>
      <c r="D73" s="269"/>
      <c r="E73" s="269"/>
      <c r="F73" s="202"/>
      <c r="G73" s="202"/>
      <c r="H73" s="202"/>
      <c r="I73" s="202"/>
      <c r="J73" s="202"/>
      <c r="K73" s="202"/>
      <c r="L73" s="353"/>
      <c r="M73" s="353"/>
    </row>
    <row r="74">
      <c r="A74" s="269"/>
      <c r="B74" s="269"/>
      <c r="C74" s="269"/>
      <c r="D74" s="269"/>
      <c r="E74" s="269"/>
      <c r="F74" s="202"/>
      <c r="G74" s="202"/>
      <c r="H74" s="202"/>
      <c r="I74" s="202"/>
      <c r="J74" s="202"/>
      <c r="K74" s="202"/>
      <c r="L74" s="353"/>
      <c r="M74" s="353"/>
    </row>
    <row r="7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353"/>
      <c r="M75" s="353"/>
    </row>
  </sheetData>
  <mergeCells count="1">
    <mergeCell ref="A1:K3"/>
  </mergeCells>
  <dataValidations>
    <dataValidation type="list" allowBlank="1" sqref="K8 K12:K14 K18 K26 K30 K38">
      <formula1>"PAGO,Opção 2"</formula1>
    </dataValidation>
    <dataValidation type="list" allowBlank="1" sqref="K22">
      <formula1>"PAGO,aguardando"</formula1>
    </dataValidation>
    <dataValidation type="list" allowBlank="1" sqref="K51 K70">
      <formula1>"PAGO,PENDENTE"</formula1>
    </dataValidation>
    <dataValidation type="list" allowBlank="1" sqref="F8">
      <formula1>"AUTORIZADA"</formula1>
    </dataValidation>
    <dataValidation type="list" allowBlank="1" sqref="F18 F34 F38 F47 F51 F55:F61">
      <formula1>"AUTORIZADA,Opção 2"</formula1>
    </dataValidation>
    <dataValidation allowBlank="1" showDropDown="1" sqref="C8 C12:C14 C22 I22 C26 H26 C30 C38 B42:C43 C47 C55:C61 J55:J61 C65:C66"/>
    <dataValidation type="list" allowBlank="1" sqref="F22">
      <formula1>"AUTORIZADA,PENDENTE AUTORIZAÇÃO"</formula1>
    </dataValidation>
    <dataValidation type="list" allowBlank="1" sqref="K55:K61 K65:K66">
      <formula1>"PAGO,PENDENTE"</formula1>
    </dataValidation>
    <dataValidation type="list" allowBlank="1" sqref="F12:F14 F26 F30 F42:F43 F65:F66 F70">
      <formula1>"AUTORIZADA,Opção 2"</formula1>
    </dataValidation>
    <dataValidation type="custom" allowBlank="1" showDropDown="1" sqref="I42:I43">
      <formula1>OR(NOT(ISERROR(DATEVALUE(I42))), AND(ISNUMBER(I42), LEFT(CELL("format", I42))="D"))</formula1>
    </dataValidation>
    <dataValidation type="list" allowBlank="1" sqref="K34 K47">
      <formula1>"PAGO,Opção 2"</formula1>
    </dataValidation>
    <dataValidation type="custom" allowBlank="1" showDropDown="1" sqref="E8 E12:E14 E18 E22 E26 E30 E34 H34 E38 E42:E43 H42:H43 E47 H47 E51 H51 E55:E61 H55:H61 E65:E66 H65:H66 E70 H70">
      <formula1>AND(ISNUMBER(E8),(NOT(OR(NOT(ISERROR(DATEVALUE(E8))), AND(ISNUMBER(E8), LEFT(CELL("format", E8))="D")))))</formula1>
    </dataValidation>
    <dataValidation type="list" allowBlank="1" sqref="K42:K43">
      <formula1>"PAGO,PENDENTE"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